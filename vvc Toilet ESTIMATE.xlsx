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defaultThemeVersion="124226"/>
  <xr:revisionPtr revIDLastSave="0" documentId="13_ncr:1_{2E5AA49A-B5D1-41B5-8D01-68FDB0793FB6}" xr6:coauthVersionLast="47" xr6:coauthVersionMax="47" xr10:uidLastSave="{00000000-0000-0000-0000-000000000000}"/>
  <bookViews>
    <workbookView xWindow="-120" yWindow="-120" windowWidth="20730" windowHeight="11040" activeTab="1" xr2:uid="{00000000-000D-0000-FFFF-FFFF00000000}"/>
  </bookViews>
  <sheets>
    <sheet name="ESTIMATE" sheetId="3" r:id="rId1"/>
    <sheet name="m sheet" sheetId="1" r:id="rId2"/>
    <sheet name="QUOTATION" sheetId="4" r:id="rId3"/>
    <sheet name="bbs toilet" sheetId="2" r:id="rId4"/>
  </sheets>
  <definedNames>
    <definedName name="_xlnm.Print_Area" localSheetId="1">'m sheet'!$A$1:$I$128</definedName>
  </definedNames>
  <calcPr calcId="181029"/>
</workbook>
</file>

<file path=xl/calcChain.xml><?xml version="1.0" encoding="utf-8"?>
<calcChain xmlns="http://schemas.openxmlformats.org/spreadsheetml/2006/main">
  <c r="H98" i="1" l="1"/>
  <c r="H101" i="1"/>
  <c r="H110" i="1"/>
  <c r="H111" i="1"/>
  <c r="H112" i="1"/>
  <c r="H113" i="1"/>
  <c r="H116" i="1"/>
  <c r="H117" i="1"/>
  <c r="H118" i="1"/>
  <c r="H115" i="1"/>
  <c r="F16" i="3"/>
  <c r="F17" i="3"/>
  <c r="F18" i="3"/>
  <c r="F19" i="3"/>
  <c r="F20" i="3"/>
  <c r="F21" i="3"/>
  <c r="F22" i="3"/>
  <c r="F23" i="3"/>
  <c r="F24" i="3"/>
  <c r="F25" i="3"/>
  <c r="F26" i="3"/>
  <c r="F27" i="3"/>
  <c r="F28" i="3"/>
  <c r="F29" i="3"/>
  <c r="H24" i="1"/>
  <c r="H73" i="1"/>
  <c r="H53" i="1"/>
  <c r="H104" i="1"/>
  <c r="F11" i="3" l="1"/>
  <c r="F12" i="3"/>
  <c r="F14" i="3"/>
  <c r="F15" i="3"/>
  <c r="H38" i="1"/>
  <c r="H37" i="1"/>
  <c r="H36" i="1"/>
  <c r="F13" i="3" l="1"/>
  <c r="H39" i="1"/>
  <c r="D7" i="3" s="1"/>
  <c r="F7" i="3" s="1"/>
  <c r="H125" i="1"/>
  <c r="G13" i="2"/>
  <c r="H13" i="2" s="1"/>
  <c r="G11" i="2"/>
  <c r="J11" i="2" s="1"/>
  <c r="J15" i="2" s="1"/>
  <c r="G8" i="2"/>
  <c r="H8" i="2" s="1"/>
  <c r="G7" i="2"/>
  <c r="H7" i="2" s="1"/>
  <c r="G5" i="2"/>
  <c r="K5" i="2" s="1"/>
  <c r="G4" i="2"/>
  <c r="K4" i="2" s="1"/>
  <c r="K16" i="2"/>
  <c r="J16" i="2"/>
  <c r="I16" i="2"/>
  <c r="H16" i="2"/>
  <c r="I15" i="2"/>
  <c r="I17" i="2" l="1"/>
  <c r="J17" i="2"/>
  <c r="H15" i="2"/>
  <c r="H17" i="2" s="1"/>
  <c r="K15" i="2"/>
  <c r="K17" i="2" s="1"/>
  <c r="H18" i="2" l="1"/>
  <c r="H92" i="1"/>
  <c r="H91" i="1"/>
  <c r="H72" i="1"/>
  <c r="H71" i="1"/>
  <c r="H70" i="1"/>
  <c r="H69" i="1"/>
  <c r="H90" i="1"/>
  <c r="H89" i="1"/>
  <c r="H103" i="1" l="1"/>
  <c r="H105" i="1" s="1"/>
  <c r="H88" i="1"/>
  <c r="H87" i="1"/>
  <c r="H86" i="1"/>
  <c r="H85" i="1"/>
  <c r="H84" i="1"/>
  <c r="D83" i="1"/>
  <c r="H83" i="1" s="1"/>
  <c r="H82" i="1"/>
  <c r="H81" i="1"/>
  <c r="H80" i="1"/>
  <c r="H79" i="1"/>
  <c r="H78" i="1"/>
  <c r="H22" i="1"/>
  <c r="H23" i="1"/>
  <c r="H20" i="1"/>
  <c r="H21" i="1"/>
  <c r="H15" i="1"/>
  <c r="H62" i="1"/>
  <c r="H64" i="1"/>
  <c r="H65" i="1"/>
  <c r="H66" i="1"/>
  <c r="H67" i="1"/>
  <c r="H68" i="1"/>
  <c r="D63" i="1"/>
  <c r="H63" i="1" s="1"/>
  <c r="H51" i="1"/>
  <c r="H52" i="1"/>
  <c r="H47" i="1"/>
  <c r="H48" i="1"/>
  <c r="H49" i="1"/>
  <c r="H50" i="1"/>
  <c r="H8" i="1"/>
  <c r="H14" i="1"/>
  <c r="H59" i="1"/>
  <c r="H60" i="1"/>
  <c r="H61" i="1"/>
  <c r="H58" i="1"/>
  <c r="H44" i="1"/>
  <c r="H45" i="1"/>
  <c r="H46" i="1"/>
  <c r="H43" i="1"/>
  <c r="H32" i="1"/>
  <c r="H31" i="1"/>
  <c r="H30" i="1"/>
  <c r="H13" i="1"/>
  <c r="H12" i="1"/>
  <c r="H5" i="1"/>
  <c r="H4" i="1"/>
  <c r="H25" i="1" l="1"/>
  <c r="H55" i="1"/>
  <c r="H6" i="1"/>
  <c r="D2" i="3" s="1"/>
  <c r="D3" i="3"/>
  <c r="F3" i="3" s="1"/>
  <c r="H94" i="1"/>
  <c r="D10" i="3" s="1"/>
  <c r="F10" i="3" s="1"/>
  <c r="H75" i="1"/>
  <c r="H16" i="1"/>
  <c r="H33" i="1"/>
  <c r="D6" i="3" l="1"/>
  <c r="F6" i="3" s="1"/>
  <c r="D9" i="3"/>
  <c r="F9" i="3" s="1"/>
  <c r="F2" i="3"/>
  <c r="D8" i="3"/>
  <c r="F8" i="3" s="1"/>
  <c r="D5" i="3"/>
  <c r="F5" i="3" s="1"/>
  <c r="D4" i="3"/>
  <c r="F4" i="3" s="1"/>
  <c r="F30" i="3" l="1"/>
  <c r="D20" i="4" l="1"/>
  <c r="D23" i="4" s="1"/>
  <c r="D21" i="4" l="1"/>
  <c r="D22" i="4" l="1"/>
  <c r="D24" i="4"/>
</calcChain>
</file>

<file path=xl/sharedStrings.xml><?xml version="1.0" encoding="utf-8"?>
<sst xmlns="http://schemas.openxmlformats.org/spreadsheetml/2006/main" count="219" uniqueCount="151">
  <si>
    <t>Sl.NO</t>
  </si>
  <si>
    <t>DESCRIPITION OF WORK</t>
  </si>
  <si>
    <t>NOS</t>
  </si>
  <si>
    <t xml:space="preserve">LENGTH </t>
  </si>
  <si>
    <t>BREADTH</t>
  </si>
  <si>
    <t>DEPTH</t>
  </si>
  <si>
    <t>QUANTITY</t>
  </si>
  <si>
    <t>REMARKS</t>
  </si>
  <si>
    <t>Total</t>
  </si>
  <si>
    <t>VVC Toilet Unit-2</t>
  </si>
  <si>
    <t>Earth work excavation</t>
  </si>
  <si>
    <t xml:space="preserve"> GSB</t>
  </si>
  <si>
    <t xml:space="preserve"> Brick Work</t>
  </si>
  <si>
    <t>Plinth beam</t>
  </si>
  <si>
    <t xml:space="preserve"> PCC</t>
  </si>
  <si>
    <t>Long outer beam</t>
  </si>
  <si>
    <t>Short outer beam</t>
  </si>
  <si>
    <t>Centre partition beam</t>
  </si>
  <si>
    <t xml:space="preserve"> Plastering</t>
  </si>
  <si>
    <t>Outer wall</t>
  </si>
  <si>
    <t>Centre wall</t>
  </si>
  <si>
    <t>Centre</t>
  </si>
  <si>
    <t>Partition</t>
  </si>
  <si>
    <t>Outer basement</t>
  </si>
  <si>
    <t>Flooring</t>
  </si>
  <si>
    <t>Soil filling</t>
  </si>
  <si>
    <t>Toilet inner</t>
  </si>
  <si>
    <t>Centre partition</t>
  </si>
  <si>
    <t>urinal</t>
  </si>
  <si>
    <t>Steps</t>
  </si>
  <si>
    <t>Steps Tread</t>
  </si>
  <si>
    <t>Steps Rise</t>
  </si>
  <si>
    <t>Steps side</t>
  </si>
  <si>
    <t>Painting</t>
  </si>
  <si>
    <t>outer &amp; inner</t>
  </si>
  <si>
    <t>Jally</t>
  </si>
  <si>
    <t>Granite urinal partition</t>
  </si>
  <si>
    <t>Amount</t>
  </si>
  <si>
    <t>Shuttering</t>
  </si>
  <si>
    <t>Aluminum Ventilator</t>
  </si>
  <si>
    <t>IWC</t>
  </si>
  <si>
    <t>EWC</t>
  </si>
  <si>
    <t>Urinal</t>
  </si>
  <si>
    <t>Pvc Door</t>
  </si>
  <si>
    <t>Door  MS (Crew)</t>
  </si>
  <si>
    <t>stage-1 office kitchen</t>
  </si>
  <si>
    <t>Jally border</t>
  </si>
  <si>
    <t>Ventilator border</t>
  </si>
  <si>
    <t>Steel Reinforcement</t>
  </si>
  <si>
    <t>SI.NO</t>
  </si>
  <si>
    <t>Descripition of work</t>
  </si>
  <si>
    <t>Dia of Rod</t>
  </si>
  <si>
    <t>Cutting Length</t>
  </si>
  <si>
    <t>8mm</t>
  </si>
  <si>
    <t>10mm</t>
  </si>
  <si>
    <t>12mm</t>
  </si>
  <si>
    <t>16mm</t>
  </si>
  <si>
    <t>Main Rod</t>
  </si>
  <si>
    <t>Striupps</t>
  </si>
  <si>
    <t>Total Length</t>
  </si>
  <si>
    <t>RM</t>
  </si>
  <si>
    <t>Weight per(kg/m)</t>
  </si>
  <si>
    <t>KG/M</t>
  </si>
  <si>
    <t>Weight (KG)</t>
  </si>
  <si>
    <t>KG</t>
  </si>
  <si>
    <t>Weight (MT)</t>
  </si>
  <si>
    <t>MT</t>
  </si>
  <si>
    <t>VVC toilet</t>
  </si>
  <si>
    <t>Tie Beam</t>
  </si>
  <si>
    <t>water 40mm</t>
  </si>
  <si>
    <t>75mm</t>
  </si>
  <si>
    <t>bath 40 mm</t>
  </si>
  <si>
    <t>septic tank</t>
  </si>
  <si>
    <t>Quantity</t>
  </si>
  <si>
    <t>Unit</t>
  </si>
  <si>
    <t xml:space="preserve"> Rate</t>
  </si>
  <si>
    <t>Earthwork in excavation in ordinary soils including filled up area, in both Dry and Wet conditions, including Pumping and Bailing out Surface and Subsoil water, rain water by using any suitable dewatering method, Slush, muck removal, sorting out the excavated earth into serviceable and unserviceable material, Including backfilling. The cost include transportation of both unserviceable/ serviceable material into dumping yards or wherever required as per direction of Engineer incharge upto any lead within plant boundary . The rate also inclusive of marking the Road layout by means of Total Station with Corresponding co-ordinates and measurements at site.
The Contractor shall take into account in his rate, the provision for excess excavation for necessary working space, side slope and backfilling the same. Existing ground level/T.L shall be recorded jointly before starting of excavation. All survey equipment (like dumpy level etc) shall be arranged by contractor at his own cost. Cost towards dewatering of surface or subsoil water shall be deemed to have included in the quoted rate.</t>
  </si>
  <si>
    <t>CUM</t>
  </si>
  <si>
    <t>Supplying and Laying Plain Cement Concrete of following Grades (including Shuttering if required) in all levelling courses under Foundation, pile cap, apron, drains, steps, Floors, coping, Pits etc., at all depths complete all as per Drawings and Specifications and instruction of the Engineer. The rate also inclusive of marking the Foundation layout by means of Total Station with Corresponding co -ordinates and measurements at site.
M-15 Grade of Concrete,using Ordinary portland cement (CA content 5 to 8%&amp; 40 mm down graded coarse aggregate.</t>
  </si>
  <si>
    <t>Supply of Available sand (filling purpose)The rate shall include all material, labours, machinery and tools and tackles,consumobels etc., complete and as per specifications, drawings and directions of the Engineer-In Charge…</t>
  </si>
  <si>
    <t>Providing and laying Of GSB (Granular sub Base) by providing close grade material, spreading uniform layers on prepare surface mixing by mix place method and compacting with earth rammer to achive desired density As per clause 401 on Most Spec. The rate shall include all material, labours, machinery and tools and tackles,consumobels etc., complete and as per specifications, drawings and directions of the Engineer-In Charge...</t>
  </si>
  <si>
    <t>Supplying and Laying of Reinforced Cement Concrete of M30 Grade (Excluding Shuttering and excluding reinforcement) at all depths and heights in all types of Foundations, Pile cap, equipment foundations, columns and any other works both in Sub and Superstructures all complete as per Drawings, Specification and instruction of Engineer. The rate also inclusive of marking the Foundation/Pedestal Layout at site. (Using Cement brand Chettinad/ Dalmia/ Coromandel - OPC 53 Grade (with C3A content limited to 5% to 8%) with minimum cement content per Cum of concrete to be not less than 400 kg) (Dispensary Grade slab)</t>
  </si>
  <si>
    <t>Providing, Fixing and Stripping of Shuttering of good quality plywood or steel plate on steel frame for all types of Structures not covered in respective items including Centering / Scaffolding, all complete as per Drawings, Specifications and directions of the Engineer.</t>
  </si>
  <si>
    <t>SQM</t>
  </si>
  <si>
    <t>Providing and constructing 230 mm thick brick masonry in CM 1:5 (1 cement: 5 coarse sand) with approved good quality fly ash bricks for all types of structures and at all levels. The rate shall include cost of all materials, labor charges, curing, scaffoldings, tools &amp; tackles, transportations, etc., complete and as directed by the Engineer - in -
charge.</t>
  </si>
  <si>
    <t>Providing and applying 12 mm thick Plastering in CM 1:4 for internal &amp; External wall surfaces, beams, sills door/ window jams etc. in all levels including finishing the surfaces smoothly. The rate shall include all materials, Chicken mesh, labor charges, tools &amp; tackles, transportations, curing, scaffoldings, etc., complete and as directed by the Engineer - in - charge.</t>
  </si>
  <si>
    <t>Provided Aluminium powder quoted grill for windows</t>
  </si>
  <si>
    <t>TOTAL AMOUNT</t>
  </si>
  <si>
    <t>RS</t>
  </si>
  <si>
    <t xml:space="preserve"> Description of works</t>
  </si>
  <si>
    <t>Supplying and Fabricating and Fixing in position Steel Reinforcements at all levels and positions including the Cost of transport, straightening, Cutting, Bending, Cranking, Binding, Welding, Provision of necessary Chairs and Spacers, Preparation of bar bending schedule Drawings, getting the same approved etc., as per Drawings and Specifications and including Cost of binding wire, Labour etc., all complete for Reinforced concrete and reinforced brick work and any other place as specified below. The chairs and spacer bars provided will not be Measured for payment.</t>
  </si>
  <si>
    <t>Finishing with tractor emulsion paint (Asian paint) of approved brand and manufacturer of required colour to give an even shade all complete as per drawings, specifications and/or as directed by the engineer. For internal wall &amp; External wall.</t>
  </si>
  <si>
    <t>floor trap</t>
  </si>
  <si>
    <t>Ball valve</t>
  </si>
  <si>
    <t>urinal side</t>
  </si>
  <si>
    <t>Partition wall</t>
  </si>
  <si>
    <t>outer &amp; inner wall</t>
  </si>
  <si>
    <t>Toilet inner wall</t>
  </si>
  <si>
    <t xml:space="preserve">Centre partition </t>
  </si>
  <si>
    <t xml:space="preserve">urinal side </t>
  </si>
  <si>
    <t>Roofing sheet (supply by crew)</t>
  </si>
  <si>
    <t>110mm</t>
  </si>
  <si>
    <t>U PVC</t>
  </si>
  <si>
    <t>Tank</t>
  </si>
  <si>
    <t>nos</t>
  </si>
  <si>
    <t>Jally fixing in position</t>
  </si>
  <si>
    <t xml:space="preserve">Granite fixing in position with including cutting fixing polishing </t>
  </si>
  <si>
    <t>sqm</t>
  </si>
  <si>
    <t xml:space="preserve">Plumbing </t>
  </si>
  <si>
    <t>U pvc pipe -40mm</t>
  </si>
  <si>
    <t>pvc pipe -75mm</t>
  </si>
  <si>
    <t>Bath 40mm pvc pipe</t>
  </si>
  <si>
    <t>Floor trap with fixing  in levels</t>
  </si>
  <si>
    <t xml:space="preserve">PVC door for restroom </t>
  </si>
  <si>
    <t>Steel door for main door</t>
  </si>
  <si>
    <t>Roof sheet fixing work including labour, tools &amp; tackles</t>
  </si>
  <si>
    <t xml:space="preserve">Providing and fixing of Precast Septic tank including erection, transportation and Earthwork </t>
  </si>
  <si>
    <t>Rmt</t>
  </si>
  <si>
    <t>Pvc pipe 110mm</t>
  </si>
  <si>
    <t>Ls</t>
  </si>
  <si>
    <t>To,</t>
  </si>
  <si>
    <t>M/s. Chennai Radha Engineering Works Pvt Ltd</t>
  </si>
  <si>
    <t xml:space="preserve">No. 40, Sapthagiri Colony, </t>
  </si>
  <si>
    <t>Jafferkhanpet, Chennai - 600 083.</t>
  </si>
  <si>
    <t>GSTIN : 33AACCC6068R1Z6</t>
  </si>
  <si>
    <t>S.No</t>
  </si>
  <si>
    <t>Description</t>
  </si>
  <si>
    <t xml:space="preserve">TOTAL AMOUNT </t>
  </si>
  <si>
    <t xml:space="preserve">CGST @ 9.00 % </t>
  </si>
  <si>
    <t xml:space="preserve">SGST @ 9.00 % </t>
  </si>
  <si>
    <t xml:space="preserve">TOTAL AMOUNT INCLUDING CGST &amp; SGST </t>
  </si>
  <si>
    <t xml:space="preserve"> Signature</t>
  </si>
  <si>
    <t>M/s.DUS Enterprises</t>
  </si>
  <si>
    <t xml:space="preserve">Work Order No:- </t>
  </si>
  <si>
    <t xml:space="preserve">Invoice No :- </t>
  </si>
  <si>
    <t xml:space="preserve">Invoice date :- </t>
  </si>
  <si>
    <t xml:space="preserve"> Bill No. : 10</t>
  </si>
  <si>
    <t>RESTROOM CONSTRUCTION</t>
  </si>
  <si>
    <t>NAME OF WORK : CONSTRUCTING OF RESTROOM NEAR FACTORY SHED  WITH NECESSARY FACILITIES IN VELLIVOYALCHAVADI UNIT II (CREW WORKSHOP)</t>
  </si>
  <si>
    <t>PERFORMANCE INVOICE</t>
  </si>
  <si>
    <t>Plumbing</t>
  </si>
  <si>
    <t>a</t>
  </si>
  <si>
    <t>b</t>
  </si>
  <si>
    <t>c</t>
  </si>
  <si>
    <t>d</t>
  </si>
  <si>
    <t>e</t>
  </si>
  <si>
    <t>f</t>
  </si>
  <si>
    <t>g</t>
  </si>
  <si>
    <t>h</t>
  </si>
  <si>
    <t>i</t>
  </si>
  <si>
    <t>RUPEES IN WORDS - TEN LAKHS TWENTY SEVEN THOUSAND TWO HUNDERD AND FIFTY FIVE RUPEES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</si>
</sst>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
    <numFmt numFmtId="165" formatCode="0.0"/>
    <numFmt numFmtId="166" formatCode="&quot;₹&quot;\ #,##0.00"/>
    <numFmt numFmtId="167" formatCode="_(* #,##0_);_(* \(#,##0\);_(* &quot;-&quot;??_);_(@_)"/>
  </numFmts>
  <fonts count="2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4"/>
      <color theme="1"/>
      <name val="Times New Roman"/>
      <family val="1"/>
    </font>
    <font>
      <b/>
      <sz val="14"/>
      <color theme="1"/>
      <name val="Calibri"/>
      <family val="2"/>
      <scheme val="minor"/>
    </font>
    <font>
      <sz val="14"/>
      <color theme="1"/>
      <name val="Calibri"/>
      <family val="2"/>
      <scheme val="minor"/>
    </font>
    <font>
      <sz val="14"/>
      <color theme="1"/>
      <name val="Times New Roman"/>
      <family val="1"/>
    </font>
    <font>
      <sz val="11"/>
      <color theme="1"/>
      <name val="Calibri"/>
      <family val="2"/>
      <scheme val="minor"/>
    </font>
    <font>
      <sz val="10"/>
      <name val="Arial"/>
      <family val="2"/>
    </font>
    <font>
      <sz val="10"/>
      <name val="Arial"/>
      <family val="2"/>
      <charset val="1"/>
    </font>
    <font>
      <sz val="11"/>
      <color rgb="FF000000"/>
      <name val="Calibri"/>
      <family val="2"/>
    </font>
    <font>
      <sz val="11"/>
      <color rgb="FF000000"/>
      <name val="Calibri"/>
      <family val="2"/>
      <charset val="204"/>
    </font>
    <font>
      <sz val="11"/>
      <name val="Calibri"/>
      <family val="2"/>
    </font>
    <font>
      <b/>
      <sz val="14"/>
      <color rgb="FF000000"/>
      <name val="Times New Roman"/>
      <family val="1"/>
    </font>
    <font>
      <b/>
      <sz val="16"/>
      <color theme="1"/>
      <name val="Calibri"/>
      <family val="2"/>
      <scheme val="minor"/>
    </font>
    <font>
      <sz val="16"/>
      <color theme="1"/>
      <name val="Calibri"/>
      <family val="2"/>
      <scheme val="minor"/>
    </font>
    <font>
      <b/>
      <sz val="16"/>
      <name val="Calibri"/>
      <family val="2"/>
      <scheme val="minor"/>
    </font>
    <font>
      <b/>
      <sz val="14"/>
      <color theme="1"/>
      <name val="Book Antiqua"/>
      <family val="1"/>
    </font>
    <font>
      <sz val="14"/>
      <color theme="1"/>
      <name val="Book Antiqua"/>
      <family val="1"/>
    </font>
    <font>
      <sz val="14"/>
      <color rgb="FFFF0000"/>
      <name val="Book Antiqua"/>
      <family val="1"/>
    </font>
    <font>
      <b/>
      <sz val="14"/>
      <color rgb="FF000000"/>
      <name val="Book Antiqua"/>
      <family val="1"/>
    </font>
    <font>
      <sz val="14"/>
      <color rgb="FF000000"/>
      <name val="Book Antiqua"/>
      <family val="1"/>
    </font>
    <font>
      <sz val="14"/>
      <name val="Book Antiqua"/>
      <family val="1"/>
    </font>
    <font>
      <b/>
      <sz val="14"/>
      <color rgb="FFFF0000"/>
      <name val="Book Antiqua"/>
      <family val="1"/>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indexed="64"/>
      </left>
      <right/>
      <top/>
      <bottom style="thin">
        <color auto="1"/>
      </bottom>
      <diagonal/>
    </border>
    <border>
      <left/>
      <right style="medium">
        <color auto="1"/>
      </right>
      <top/>
      <bottom style="thin">
        <color auto="1"/>
      </bottom>
      <diagonal/>
    </border>
  </borders>
  <cellStyleXfs count="19">
    <xf numFmtId="0" fontId="0"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10" fillId="0" borderId="0"/>
    <xf numFmtId="0" fontId="9" fillId="0" borderId="0"/>
    <xf numFmtId="0" fontId="10" fillId="0" borderId="0"/>
    <xf numFmtId="0" fontId="9" fillId="0" borderId="0">
      <protection locked="0"/>
    </xf>
    <xf numFmtId="0" fontId="9" fillId="0" borderId="0">
      <protection locked="0"/>
    </xf>
    <xf numFmtId="0" fontId="11" fillId="0" borderId="0">
      <protection locked="0"/>
    </xf>
    <xf numFmtId="0" fontId="11" fillId="0" borderId="0">
      <protection locked="0"/>
    </xf>
    <xf numFmtId="0" fontId="12" fillId="0" borderId="0"/>
    <xf numFmtId="0" fontId="12" fillId="0" borderId="0"/>
    <xf numFmtId="0" fontId="8" fillId="0" borderId="0"/>
    <xf numFmtId="0" fontId="8" fillId="0" borderId="0"/>
    <xf numFmtId="0" fontId="13" fillId="0" borderId="0">
      <alignment vertical="center"/>
    </xf>
    <xf numFmtId="0" fontId="11" fillId="0" borderId="0">
      <protection locked="0"/>
    </xf>
  </cellStyleXfs>
  <cellXfs count="108">
    <xf numFmtId="0" fontId="0" fillId="0" borderId="0" xfId="0"/>
    <xf numFmtId="0" fontId="3"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4" fillId="0" borderId="6"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7" xfId="0" applyBorder="1"/>
    <xf numFmtId="0" fontId="5" fillId="0" borderId="6"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0" fontId="4" fillId="2" borderId="6" xfId="0" applyFont="1" applyFill="1" applyBorder="1" applyAlignment="1">
      <alignment horizontal="right"/>
    </xf>
    <xf numFmtId="0" fontId="4" fillId="2" borderId="1" xfId="0" applyFont="1" applyFill="1" applyBorder="1"/>
    <xf numFmtId="0" fontId="4" fillId="2" borderId="1" xfId="0" applyFont="1" applyFill="1" applyBorder="1" applyAlignment="1">
      <alignment horizontal="center"/>
    </xf>
    <xf numFmtId="0" fontId="7" fillId="2" borderId="1" xfId="0" applyFont="1" applyFill="1" applyBorder="1"/>
    <xf numFmtId="165" fontId="4" fillId="2" borderId="1" xfId="0" applyNumberFormat="1" applyFont="1" applyFill="1" applyBorder="1" applyAlignment="1">
      <alignment vertical="center"/>
    </xf>
    <xf numFmtId="165" fontId="4" fillId="2" borderId="1" xfId="0" applyNumberFormat="1" applyFont="1" applyFill="1" applyBorder="1"/>
    <xf numFmtId="0" fontId="4" fillId="2" borderId="7" xfId="0" applyFont="1" applyFill="1" applyBorder="1" applyAlignment="1">
      <alignment horizontal="center" vertical="center"/>
    </xf>
    <xf numFmtId="164" fontId="7" fillId="2" borderId="1" xfId="0" applyNumberFormat="1" applyFont="1" applyFill="1" applyBorder="1" applyAlignment="1">
      <alignment vertical="center"/>
    </xf>
    <xf numFmtId="164" fontId="7" fillId="2" borderId="1" xfId="0" applyNumberFormat="1" applyFont="1" applyFill="1" applyBorder="1"/>
    <xf numFmtId="0" fontId="4" fillId="0" borderId="1" xfId="0" applyFont="1" applyBorder="1"/>
    <xf numFmtId="0" fontId="4" fillId="2" borderId="8" xfId="0" applyFont="1" applyFill="1" applyBorder="1"/>
    <xf numFmtId="0" fontId="4" fillId="2" borderId="8" xfId="0" applyFont="1" applyFill="1" applyBorder="1" applyAlignment="1">
      <alignment horizontal="center"/>
    </xf>
    <xf numFmtId="0" fontId="7" fillId="2" borderId="8" xfId="0" applyFont="1" applyFill="1" applyBorder="1"/>
    <xf numFmtId="0" fontId="4" fillId="2" borderId="12" xfId="0" applyFont="1" applyFill="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2" fontId="16"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164" fontId="16" fillId="0" borderId="1" xfId="0" applyNumberFormat="1" applyFont="1" applyBorder="1" applyAlignment="1">
      <alignment horizontal="center" vertical="center"/>
    </xf>
    <xf numFmtId="0" fontId="15" fillId="0" borderId="1" xfId="0" applyFont="1" applyBorder="1" applyAlignment="1">
      <alignment horizontal="center"/>
    </xf>
    <xf numFmtId="0" fontId="16" fillId="0" borderId="1" xfId="0" applyFont="1" applyBorder="1" applyAlignment="1">
      <alignment horizontal="center"/>
    </xf>
    <xf numFmtId="165" fontId="16" fillId="0" borderId="1" xfId="0" applyNumberFormat="1" applyFont="1" applyBorder="1" applyAlignment="1">
      <alignment horizontal="center"/>
    </xf>
    <xf numFmtId="164" fontId="15" fillId="0" borderId="1" xfId="0" applyNumberFormat="1" applyFont="1" applyBorder="1" applyAlignment="1">
      <alignment horizontal="center"/>
    </xf>
    <xf numFmtId="165" fontId="16" fillId="0" borderId="1" xfId="0" applyNumberFormat="1" applyFont="1" applyBorder="1" applyAlignment="1">
      <alignment horizontal="center" vertical="center"/>
    </xf>
    <xf numFmtId="2" fontId="15" fillId="0" borderId="1" xfId="0" applyNumberFormat="1" applyFont="1" applyBorder="1" applyAlignment="1">
      <alignment horizontal="center"/>
    </xf>
    <xf numFmtId="2" fontId="16" fillId="0" borderId="1" xfId="0" applyNumberFormat="1" applyFont="1" applyBorder="1" applyAlignment="1">
      <alignment horizontal="center"/>
    </xf>
    <xf numFmtId="164" fontId="16" fillId="0" borderId="1" xfId="0" applyNumberFormat="1" applyFont="1" applyBorder="1" applyAlignment="1">
      <alignment horizontal="center"/>
    </xf>
    <xf numFmtId="0" fontId="17" fillId="0" borderId="1" xfId="0" applyFont="1" applyBorder="1" applyAlignment="1">
      <alignment horizontal="left"/>
    </xf>
    <xf numFmtId="0" fontId="15" fillId="0" borderId="1" xfId="0" applyFont="1" applyBorder="1" applyAlignment="1">
      <alignment horizontal="center" wrapText="1"/>
    </xf>
    <xf numFmtId="0" fontId="15" fillId="0" borderId="1" xfId="0" applyFont="1" applyBorder="1" applyAlignment="1">
      <alignment horizontal="center" vertical="center" wrapText="1"/>
    </xf>
    <xf numFmtId="0" fontId="15" fillId="0" borderId="1" xfId="0" applyFont="1" applyBorder="1" applyAlignment="1">
      <alignment horizontal="right"/>
    </xf>
    <xf numFmtId="0" fontId="21" fillId="0" borderId="6" xfId="1" applyFont="1" applyBorder="1" applyAlignment="1">
      <alignment horizontal="center" vertical="center"/>
    </xf>
    <xf numFmtId="0" fontId="21" fillId="0" borderId="7" xfId="1" applyFont="1" applyBorder="1" applyAlignment="1">
      <alignment horizontal="center" vertical="center"/>
    </xf>
    <xf numFmtId="0" fontId="22" fillId="0" borderId="6" xfId="1" applyFont="1" applyBorder="1" applyAlignment="1">
      <alignment horizontal="center" vertical="center"/>
    </xf>
    <xf numFmtId="167" fontId="21" fillId="0" borderId="7" xfId="2" applyNumberFormat="1" applyFont="1" applyBorder="1" applyAlignment="1">
      <alignment horizontal="left" vertical="center"/>
    </xf>
    <xf numFmtId="167" fontId="21" fillId="0" borderId="7" xfId="1" applyNumberFormat="1" applyFont="1" applyBorder="1" applyAlignment="1">
      <alignment horizontal="right" vertical="center"/>
    </xf>
    <xf numFmtId="167" fontId="22" fillId="0" borderId="7" xfId="1" applyNumberFormat="1" applyFont="1" applyBorder="1" applyAlignment="1">
      <alignment horizontal="right" vertical="center"/>
    </xf>
    <xf numFmtId="0" fontId="6" fillId="0" borderId="0" xfId="0" applyFont="1"/>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6" fillId="0" borderId="0" xfId="1" applyFont="1" applyAlignment="1">
      <alignment horizont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0" fontId="14" fillId="0" borderId="5" xfId="1" applyFont="1" applyBorder="1" applyAlignment="1">
      <alignment horizontal="center" vertical="center"/>
    </xf>
    <xf numFmtId="0" fontId="18" fillId="0" borderId="6" xfId="1" applyFont="1" applyBorder="1" applyAlignment="1">
      <alignment horizontal="left" vertical="center"/>
    </xf>
    <xf numFmtId="0" fontId="19" fillId="0" borderId="1" xfId="1" applyFont="1" applyBorder="1"/>
    <xf numFmtId="0" fontId="19" fillId="0" borderId="7" xfId="1" applyFont="1" applyBorder="1"/>
    <xf numFmtId="0" fontId="21" fillId="0" borderId="6" xfId="1" applyFont="1" applyBorder="1" applyAlignment="1">
      <alignment horizontal="right" vertical="center"/>
    </xf>
    <xf numFmtId="0" fontId="23" fillId="0" borderId="1" xfId="1" applyFont="1" applyBorder="1"/>
    <xf numFmtId="0" fontId="21" fillId="0" borderId="16" xfId="1" applyFont="1" applyBorder="1" applyAlignment="1">
      <alignment horizontal="left" vertical="center" wrapText="1"/>
    </xf>
    <xf numFmtId="0" fontId="6" fillId="0" borderId="13" xfId="0" applyFont="1" applyBorder="1" applyAlignment="1">
      <alignment wrapText="1"/>
    </xf>
    <xf numFmtId="0" fontId="6" fillId="0" borderId="17" xfId="0" applyFont="1" applyBorder="1" applyAlignment="1">
      <alignment wrapText="1"/>
    </xf>
    <xf numFmtId="0" fontId="24" fillId="0" borderId="6" xfId="1" applyFont="1" applyBorder="1" applyAlignment="1">
      <alignment horizontal="left" vertical="top" wrapText="1"/>
    </xf>
    <xf numFmtId="0" fontId="23" fillId="0" borderId="6" xfId="1" applyFont="1" applyBorder="1"/>
    <xf numFmtId="0" fontId="23" fillId="0" borderId="19" xfId="1" applyFont="1" applyBorder="1"/>
    <xf numFmtId="0" fontId="23" fillId="0" borderId="8" xfId="1" applyFont="1" applyBorder="1"/>
    <xf numFmtId="0" fontId="21" fillId="0" borderId="1" xfId="1" applyFont="1" applyBorder="1" applyAlignment="1">
      <alignment horizontal="center" wrapText="1"/>
    </xf>
    <xf numFmtId="0" fontId="23" fillId="0" borderId="7" xfId="1" applyFont="1" applyBorder="1"/>
    <xf numFmtId="0" fontId="23" fillId="0" borderId="12" xfId="1" applyFont="1" applyBorder="1"/>
    <xf numFmtId="0" fontId="18" fillId="0" borderId="16" xfId="1" applyFont="1" applyBorder="1" applyAlignment="1">
      <alignment horizontal="left" vertical="center" wrapText="1"/>
    </xf>
    <xf numFmtId="0" fontId="19" fillId="0" borderId="13" xfId="1" applyFont="1" applyBorder="1" applyAlignment="1">
      <alignment horizontal="left" vertical="center" wrapText="1"/>
    </xf>
    <xf numFmtId="0" fontId="19" fillId="0" borderId="17" xfId="1" applyFont="1" applyBorder="1" applyAlignment="1">
      <alignment horizontal="left" vertical="center" wrapText="1"/>
    </xf>
    <xf numFmtId="0" fontId="18" fillId="0" borderId="16" xfId="1" applyFont="1" applyBorder="1" applyAlignment="1">
      <alignment horizontal="left" vertical="center"/>
    </xf>
    <xf numFmtId="0" fontId="18" fillId="0" borderId="14" xfId="1" applyFont="1" applyBorder="1" applyAlignment="1">
      <alignment horizontal="left" vertical="center"/>
    </xf>
    <xf numFmtId="0" fontId="19" fillId="0" borderId="2" xfId="1" applyFont="1" applyBorder="1" applyAlignment="1">
      <alignment horizontal="left" vertical="center" wrapText="1"/>
    </xf>
    <xf numFmtId="0" fontId="19" fillId="0" borderId="17" xfId="1" applyFont="1" applyBorder="1" applyAlignment="1">
      <alignment horizontal="left"/>
    </xf>
    <xf numFmtId="0" fontId="18" fillId="0" borderId="14" xfId="1" applyFont="1" applyBorder="1" applyAlignment="1">
      <alignment horizontal="left"/>
    </xf>
    <xf numFmtId="0" fontId="19" fillId="0" borderId="6" xfId="1" applyFont="1" applyBorder="1" applyAlignment="1">
      <alignment horizontal="left" vertical="center" wrapText="1"/>
    </xf>
    <xf numFmtId="0" fontId="19" fillId="0" borderId="1" xfId="1" applyFont="1" applyBorder="1" applyAlignment="1">
      <alignment horizontal="left"/>
    </xf>
    <xf numFmtId="0" fontId="19" fillId="0" borderId="1" xfId="1" applyFont="1" applyBorder="1" applyAlignment="1">
      <alignment horizontal="left" vertical="center"/>
    </xf>
    <xf numFmtId="0" fontId="20" fillId="0" borderId="7" xfId="1" applyFont="1" applyBorder="1" applyAlignment="1">
      <alignment horizontal="left" vertical="center"/>
    </xf>
    <xf numFmtId="0" fontId="19" fillId="0" borderId="6" xfId="1" applyFont="1" applyBorder="1" applyAlignment="1">
      <alignment horizontal="left" vertical="center"/>
    </xf>
    <xf numFmtId="0" fontId="19" fillId="2" borderId="1" xfId="1" applyFont="1" applyFill="1" applyBorder="1" applyAlignment="1">
      <alignment horizontal="left" vertical="center"/>
    </xf>
    <xf numFmtId="0" fontId="20" fillId="2" borderId="7" xfId="1" applyFont="1" applyFill="1" applyBorder="1" applyAlignment="1">
      <alignment horizontal="left" vertical="center"/>
    </xf>
    <xf numFmtId="0" fontId="19" fillId="2" borderId="15" xfId="1" applyFont="1" applyFill="1" applyBorder="1" applyAlignment="1">
      <alignment horizontal="left" vertical="center" wrapText="1"/>
    </xf>
    <xf numFmtId="0" fontId="19" fillId="2" borderId="18" xfId="1" applyFont="1" applyFill="1" applyBorder="1" applyAlignment="1">
      <alignment horizontal="left" vertical="center" wrapText="1"/>
    </xf>
    <xf numFmtId="0" fontId="19" fillId="2" borderId="20" xfId="1" applyFont="1" applyFill="1" applyBorder="1" applyAlignment="1">
      <alignment horizontal="left" vertical="center" wrapText="1"/>
    </xf>
    <xf numFmtId="0" fontId="19" fillId="2" borderId="21" xfId="1" applyFont="1" applyFill="1" applyBorder="1" applyAlignment="1">
      <alignment horizontal="left" vertical="center" wrapText="1"/>
    </xf>
    <xf numFmtId="0" fontId="22" fillId="0" borderId="6" xfId="1" applyFont="1" applyBorder="1" applyAlignment="1">
      <alignment horizontal="right" vertical="center"/>
    </xf>
    <xf numFmtId="0" fontId="19" fillId="0" borderId="14" xfId="1" applyFont="1" applyBorder="1" applyAlignment="1">
      <alignment horizontal="left" vertical="center" wrapText="1"/>
    </xf>
    <xf numFmtId="0" fontId="21" fillId="0" borderId="2" xfId="1" applyFont="1" applyBorder="1" applyAlignment="1">
      <alignment horizontal="center" vertical="center"/>
    </xf>
    <xf numFmtId="0" fontId="21" fillId="0" borderId="14" xfId="1"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164" fontId="4" fillId="2" borderId="9" xfId="0" applyNumberFormat="1" applyFont="1" applyFill="1" applyBorder="1" applyAlignment="1">
      <alignment horizontal="center"/>
    </xf>
    <xf numFmtId="164" fontId="4" fillId="2" borderId="10" xfId="0" applyNumberFormat="1" applyFont="1" applyFill="1" applyBorder="1" applyAlignment="1">
      <alignment horizontal="center"/>
    </xf>
    <xf numFmtId="164" fontId="4" fillId="2" borderId="11" xfId="0" applyNumberFormat="1" applyFont="1" applyFill="1" applyBorder="1" applyAlignment="1">
      <alignment horizontal="center"/>
    </xf>
  </cellXfs>
  <cellStyles count="19">
    <cellStyle name="Comma 2" xfId="2" xr:uid="{D45E0023-2DDC-4390-B745-C5842F43ABC0}"/>
    <cellStyle name="Comma 3" xfId="3" xr:uid="{6A4102D2-576A-4392-BBC9-CF5E0E723966}"/>
    <cellStyle name="Comma 4" xfId="4" xr:uid="{3849C84E-E61A-412E-B5A3-BF8419D4721C}"/>
    <cellStyle name="Explanatory Text 2" xfId="5" xr:uid="{B1FFA54C-5FB8-4BF9-913F-ED55119E9ED3}"/>
    <cellStyle name="Explanatory Text 2 2" xfId="6" xr:uid="{88A6B490-8E45-4975-B983-0B55407AB218}"/>
    <cellStyle name="Explanatory Text 3" xfId="7" xr:uid="{7A38BBCF-D3F2-43A4-B622-6F08C7269F1E}"/>
    <cellStyle name="Explanatory Text 3 2" xfId="8" xr:uid="{E19AA9EA-2AAA-4411-973D-A9A366ACC2DA}"/>
    <cellStyle name="Normal" xfId="0" builtinId="0"/>
    <cellStyle name="Normal 11 2 2 2" xfId="9" xr:uid="{14783048-A2BB-43DB-9A48-2DE687A802C8}"/>
    <cellStyle name="Normal 11 2 2 2 2" xfId="10" xr:uid="{15DE741F-139C-4E75-B960-0BD4C2B1322C}"/>
    <cellStyle name="Normal 16 4" xfId="11" xr:uid="{241AFB62-9157-4FFC-B4CF-5C820739D170}"/>
    <cellStyle name="Normal 16 4 2" xfId="12" xr:uid="{1ACEBD4B-FD63-46C8-8E09-11B8BF9D7758}"/>
    <cellStyle name="Normal 2" xfId="13" xr:uid="{8B065611-7F51-4EEC-B15B-52C87B0FA0EC}"/>
    <cellStyle name="Normal 2 2" xfId="14" xr:uid="{E6F49201-2906-447C-90E8-E20166A0606D}"/>
    <cellStyle name="Normal 3" xfId="1" xr:uid="{EB3FFB6C-F103-4196-9728-E61277304CE9}"/>
    <cellStyle name="Normal 3 2" xfId="18" xr:uid="{F263444B-1967-4AA5-AA08-DB963508774F}"/>
    <cellStyle name="Normal 4" xfId="15" xr:uid="{E63A9B8C-4B90-4A3E-A495-0CEE1C9048A9}"/>
    <cellStyle name="Normal 5" xfId="16" xr:uid="{3111BE5C-8A9A-42CB-AF10-DE53ACD57074}"/>
    <cellStyle name="Normal 6" xfId="17" xr:uid="{D7059886-CE89-4288-B3B2-D6C91941852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opLeftCell="A16" zoomScale="59" zoomScaleNormal="59" workbookViewId="0">
      <selection sqref="A1:F31"/>
    </sheetView>
  </sheetViews>
  <sheetFormatPr defaultRowHeight="15" x14ac:dyDescent="0.25"/>
  <cols>
    <col min="1" max="1" width="10.5703125" customWidth="1"/>
    <col min="2" max="2" width="108.140625" customWidth="1"/>
    <col min="3" max="3" width="9.5703125" customWidth="1"/>
    <col min="4" max="4" width="12.42578125" customWidth="1"/>
    <col min="5" max="5" width="15.140625" bestFit="1" customWidth="1"/>
    <col min="6" max="6" width="16.42578125" bestFit="1" customWidth="1"/>
  </cols>
  <sheetData>
    <row r="1" spans="1:6" ht="32.25" customHeight="1" x14ac:dyDescent="0.25">
      <c r="A1" s="2" t="s">
        <v>49</v>
      </c>
      <c r="B1" s="2" t="s">
        <v>89</v>
      </c>
      <c r="C1" s="2" t="s">
        <v>74</v>
      </c>
      <c r="D1" s="2" t="s">
        <v>73</v>
      </c>
      <c r="E1" s="2" t="s">
        <v>75</v>
      </c>
      <c r="F1" s="2" t="s">
        <v>37</v>
      </c>
    </row>
    <row r="2" spans="1:6" ht="255.75" customHeight="1" x14ac:dyDescent="0.25">
      <c r="A2" s="12">
        <v>1</v>
      </c>
      <c r="B2" s="29" t="s">
        <v>76</v>
      </c>
      <c r="C2" s="12" t="s">
        <v>77</v>
      </c>
      <c r="D2" s="12">
        <f>'m sheet'!H6</f>
        <v>23.337599999999998</v>
      </c>
      <c r="E2" s="32">
        <v>350</v>
      </c>
      <c r="F2" s="30">
        <f>E2*D2</f>
        <v>8168.16</v>
      </c>
    </row>
    <row r="3" spans="1:6" ht="75" customHeight="1" x14ac:dyDescent="0.25">
      <c r="A3" s="12">
        <v>2</v>
      </c>
      <c r="B3" s="29" t="s">
        <v>79</v>
      </c>
      <c r="C3" s="12" t="s">
        <v>77</v>
      </c>
      <c r="D3" s="12">
        <f>'m sheet'!H8</f>
        <v>11.390400000000001</v>
      </c>
      <c r="E3" s="32">
        <v>1600</v>
      </c>
      <c r="F3" s="30">
        <f t="shared" ref="F3:F29" si="0">E3*D3</f>
        <v>18224.640000000003</v>
      </c>
    </row>
    <row r="4" spans="1:6" ht="134.25" customHeight="1" x14ac:dyDescent="0.25">
      <c r="A4" s="12">
        <v>3</v>
      </c>
      <c r="B4" s="29" t="s">
        <v>80</v>
      </c>
      <c r="C4" s="12" t="s">
        <v>77</v>
      </c>
      <c r="D4" s="12">
        <f>'m sheet'!H16</f>
        <v>9.0167999999999999</v>
      </c>
      <c r="E4" s="32">
        <v>2600</v>
      </c>
      <c r="F4" s="30">
        <f t="shared" si="0"/>
        <v>23443.68</v>
      </c>
    </row>
    <row r="5" spans="1:6" ht="142.5" customHeight="1" x14ac:dyDescent="0.25">
      <c r="A5" s="12">
        <v>4</v>
      </c>
      <c r="B5" s="29" t="s">
        <v>78</v>
      </c>
      <c r="C5" s="12" t="s">
        <v>77</v>
      </c>
      <c r="D5" s="12">
        <f>'m sheet'!H25</f>
        <v>8.1126000000000005</v>
      </c>
      <c r="E5" s="32">
        <v>6800</v>
      </c>
      <c r="F5" s="30">
        <f t="shared" si="0"/>
        <v>55165.68</v>
      </c>
    </row>
    <row r="6" spans="1:6" ht="132.75" customHeight="1" x14ac:dyDescent="0.25">
      <c r="A6" s="12">
        <v>5</v>
      </c>
      <c r="B6" s="29" t="s">
        <v>81</v>
      </c>
      <c r="C6" s="12" t="s">
        <v>77</v>
      </c>
      <c r="D6" s="12">
        <f>'m sheet'!H33</f>
        <v>2.7820800000000001</v>
      </c>
      <c r="E6" s="32">
        <v>8600</v>
      </c>
      <c r="F6" s="30">
        <f t="shared" si="0"/>
        <v>23925.888000000003</v>
      </c>
    </row>
    <row r="7" spans="1:6" ht="72.75" customHeight="1" x14ac:dyDescent="0.25">
      <c r="A7" s="12">
        <v>6</v>
      </c>
      <c r="B7" s="29" t="s">
        <v>82</v>
      </c>
      <c r="C7" s="12" t="s">
        <v>83</v>
      </c>
      <c r="D7" s="12">
        <f>'m sheet'!H39</f>
        <v>24.192000000000004</v>
      </c>
      <c r="E7" s="32">
        <v>650</v>
      </c>
      <c r="F7" s="30">
        <f t="shared" si="0"/>
        <v>15724.800000000003</v>
      </c>
    </row>
    <row r="8" spans="1:6" ht="94.5" customHeight="1" x14ac:dyDescent="0.25">
      <c r="A8" s="12">
        <v>7</v>
      </c>
      <c r="B8" s="29" t="s">
        <v>84</v>
      </c>
      <c r="C8" s="12" t="s">
        <v>77</v>
      </c>
      <c r="D8" s="12">
        <f>'m sheet'!H55</f>
        <v>31.866969999999995</v>
      </c>
      <c r="E8" s="32">
        <v>8900</v>
      </c>
      <c r="F8" s="30">
        <f t="shared" si="0"/>
        <v>283616.03299999994</v>
      </c>
    </row>
    <row r="9" spans="1:6" ht="93.75" customHeight="1" x14ac:dyDescent="0.25">
      <c r="A9" s="12">
        <v>8</v>
      </c>
      <c r="B9" s="29" t="s">
        <v>85</v>
      </c>
      <c r="C9" s="12" t="s">
        <v>83</v>
      </c>
      <c r="D9" s="30">
        <f>'m sheet'!H75</f>
        <v>205.64099999999999</v>
      </c>
      <c r="E9" s="32">
        <v>575</v>
      </c>
      <c r="F9" s="30">
        <f t="shared" si="0"/>
        <v>118243.575</v>
      </c>
    </row>
    <row r="10" spans="1:6" ht="90" customHeight="1" x14ac:dyDescent="0.25">
      <c r="A10" s="12">
        <v>9</v>
      </c>
      <c r="B10" s="29" t="s">
        <v>91</v>
      </c>
      <c r="C10" s="12" t="s">
        <v>83</v>
      </c>
      <c r="D10" s="30">
        <f>'m sheet'!H94</f>
        <v>184.041</v>
      </c>
      <c r="E10" s="32">
        <v>260</v>
      </c>
      <c r="F10" s="30">
        <f t="shared" si="0"/>
        <v>47850.659999999996</v>
      </c>
    </row>
    <row r="11" spans="1:6" ht="141" customHeight="1" x14ac:dyDescent="0.25">
      <c r="A11" s="12">
        <v>10</v>
      </c>
      <c r="B11" s="29" t="s">
        <v>90</v>
      </c>
      <c r="C11" s="12" t="s">
        <v>66</v>
      </c>
      <c r="D11" s="12">
        <v>0.38</v>
      </c>
      <c r="E11" s="32">
        <v>79000</v>
      </c>
      <c r="F11" s="30">
        <f t="shared" si="0"/>
        <v>30020</v>
      </c>
    </row>
    <row r="12" spans="1:6" ht="90" hidden="1" customHeight="1" x14ac:dyDescent="0.25">
      <c r="A12" s="12">
        <v>11</v>
      </c>
      <c r="B12" s="29"/>
      <c r="C12" s="12"/>
      <c r="D12" s="12"/>
      <c r="E12" s="32"/>
      <c r="F12" s="30">
        <f t="shared" si="0"/>
        <v>0</v>
      </c>
    </row>
    <row r="13" spans="1:6" ht="54" customHeight="1" x14ac:dyDescent="0.25">
      <c r="A13" s="12">
        <v>11</v>
      </c>
      <c r="B13" s="29" t="s">
        <v>86</v>
      </c>
      <c r="C13" s="12" t="s">
        <v>104</v>
      </c>
      <c r="D13" s="30">
        <v>5</v>
      </c>
      <c r="E13" s="32">
        <v>1500</v>
      </c>
      <c r="F13" s="30">
        <f t="shared" si="0"/>
        <v>7500</v>
      </c>
    </row>
    <row r="14" spans="1:6" ht="54" customHeight="1" x14ac:dyDescent="0.25">
      <c r="A14" s="12">
        <v>12</v>
      </c>
      <c r="B14" s="29" t="s">
        <v>105</v>
      </c>
      <c r="C14" s="12" t="s">
        <v>104</v>
      </c>
      <c r="D14" s="12">
        <v>2</v>
      </c>
      <c r="E14" s="32">
        <v>500</v>
      </c>
      <c r="F14" s="30">
        <f t="shared" si="0"/>
        <v>1000</v>
      </c>
    </row>
    <row r="15" spans="1:6" ht="54" customHeight="1" x14ac:dyDescent="0.25">
      <c r="A15" s="12">
        <v>13</v>
      </c>
      <c r="B15" s="29" t="s">
        <v>106</v>
      </c>
      <c r="C15" s="12" t="s">
        <v>107</v>
      </c>
      <c r="D15" s="12">
        <v>5.93</v>
      </c>
      <c r="E15" s="32">
        <v>4850</v>
      </c>
      <c r="F15" s="30">
        <f t="shared" si="0"/>
        <v>28760.5</v>
      </c>
    </row>
    <row r="16" spans="1:6" ht="54" customHeight="1" x14ac:dyDescent="0.25">
      <c r="A16" s="12">
        <v>14</v>
      </c>
      <c r="B16" s="29" t="s">
        <v>108</v>
      </c>
      <c r="C16" s="12"/>
      <c r="D16" s="12"/>
      <c r="E16" s="32"/>
      <c r="F16" s="30">
        <f t="shared" si="0"/>
        <v>0</v>
      </c>
    </row>
    <row r="17" spans="1:6" ht="30" customHeight="1" x14ac:dyDescent="0.25">
      <c r="A17" s="12" t="s">
        <v>141</v>
      </c>
      <c r="B17" s="29" t="s">
        <v>93</v>
      </c>
      <c r="C17" s="12" t="s">
        <v>104</v>
      </c>
      <c r="D17" s="12">
        <v>3</v>
      </c>
      <c r="E17" s="32">
        <v>428</v>
      </c>
      <c r="F17" s="30">
        <f t="shared" si="0"/>
        <v>1284</v>
      </c>
    </row>
    <row r="18" spans="1:6" ht="32.25" customHeight="1" x14ac:dyDescent="0.25">
      <c r="A18" s="12" t="s">
        <v>142</v>
      </c>
      <c r="B18" s="29" t="s">
        <v>41</v>
      </c>
      <c r="C18" s="12" t="s">
        <v>104</v>
      </c>
      <c r="D18" s="12">
        <v>2</v>
      </c>
      <c r="E18" s="32">
        <v>13500</v>
      </c>
      <c r="F18" s="30">
        <f t="shared" si="0"/>
        <v>27000</v>
      </c>
    </row>
    <row r="19" spans="1:6" ht="36" customHeight="1" x14ac:dyDescent="0.25">
      <c r="A19" s="12" t="s">
        <v>143</v>
      </c>
      <c r="B19" s="29" t="s">
        <v>40</v>
      </c>
      <c r="C19" s="12" t="s">
        <v>104</v>
      </c>
      <c r="D19" s="12">
        <v>2</v>
      </c>
      <c r="E19" s="32">
        <v>13500</v>
      </c>
      <c r="F19" s="30">
        <f t="shared" si="0"/>
        <v>27000</v>
      </c>
    </row>
    <row r="20" spans="1:6" ht="54" customHeight="1" x14ac:dyDescent="0.25">
      <c r="A20" s="12" t="s">
        <v>144</v>
      </c>
      <c r="B20" s="29" t="s">
        <v>42</v>
      </c>
      <c r="C20" s="12" t="s">
        <v>104</v>
      </c>
      <c r="D20" s="12">
        <v>7</v>
      </c>
      <c r="E20" s="32">
        <v>7600</v>
      </c>
      <c r="F20" s="30">
        <f t="shared" si="0"/>
        <v>53200</v>
      </c>
    </row>
    <row r="21" spans="1:6" ht="54" customHeight="1" x14ac:dyDescent="0.25">
      <c r="A21" s="12" t="s">
        <v>145</v>
      </c>
      <c r="B21" s="29" t="s">
        <v>109</v>
      </c>
      <c r="C21" s="12" t="s">
        <v>117</v>
      </c>
      <c r="D21" s="12">
        <v>29.3</v>
      </c>
      <c r="E21" s="32">
        <v>415</v>
      </c>
      <c r="F21" s="30">
        <f t="shared" si="0"/>
        <v>12159.5</v>
      </c>
    </row>
    <row r="22" spans="1:6" ht="54" customHeight="1" x14ac:dyDescent="0.25">
      <c r="A22" s="12" t="s">
        <v>146</v>
      </c>
      <c r="B22" s="29" t="s">
        <v>110</v>
      </c>
      <c r="C22" s="12" t="s">
        <v>117</v>
      </c>
      <c r="D22" s="12">
        <v>12</v>
      </c>
      <c r="E22" s="32">
        <v>400</v>
      </c>
      <c r="F22" s="30">
        <f t="shared" si="0"/>
        <v>4800</v>
      </c>
    </row>
    <row r="23" spans="1:6" ht="54" customHeight="1" x14ac:dyDescent="0.25">
      <c r="A23" s="12" t="s">
        <v>147</v>
      </c>
      <c r="B23" s="29" t="s">
        <v>111</v>
      </c>
      <c r="C23" s="12" t="s">
        <v>117</v>
      </c>
      <c r="D23" s="12">
        <v>14.1</v>
      </c>
      <c r="E23" s="32">
        <v>415</v>
      </c>
      <c r="F23" s="30">
        <f t="shared" si="0"/>
        <v>5851.5</v>
      </c>
    </row>
    <row r="24" spans="1:6" ht="54" customHeight="1" x14ac:dyDescent="0.25">
      <c r="A24" s="12" t="s">
        <v>148</v>
      </c>
      <c r="B24" s="29" t="s">
        <v>118</v>
      </c>
      <c r="C24" s="12" t="s">
        <v>117</v>
      </c>
      <c r="D24" s="12">
        <v>15</v>
      </c>
      <c r="E24" s="32">
        <v>515</v>
      </c>
      <c r="F24" s="30">
        <f t="shared" si="0"/>
        <v>7725</v>
      </c>
    </row>
    <row r="25" spans="1:6" ht="54" customHeight="1" x14ac:dyDescent="0.25">
      <c r="A25" s="12" t="s">
        <v>149</v>
      </c>
      <c r="B25" s="29" t="s">
        <v>112</v>
      </c>
      <c r="C25" s="12" t="s">
        <v>104</v>
      </c>
      <c r="D25" s="12">
        <v>5</v>
      </c>
      <c r="E25" s="32">
        <v>600</v>
      </c>
      <c r="F25" s="30">
        <f t="shared" si="0"/>
        <v>3000</v>
      </c>
    </row>
    <row r="26" spans="1:6" ht="54" customHeight="1" x14ac:dyDescent="0.25">
      <c r="A26" s="12">
        <v>15</v>
      </c>
      <c r="B26" s="29" t="s">
        <v>113</v>
      </c>
      <c r="C26" s="12" t="s">
        <v>104</v>
      </c>
      <c r="D26" s="12">
        <v>5</v>
      </c>
      <c r="E26" s="32">
        <v>4400</v>
      </c>
      <c r="F26" s="30">
        <f t="shared" si="0"/>
        <v>22000</v>
      </c>
    </row>
    <row r="27" spans="1:6" ht="54" customHeight="1" x14ac:dyDescent="0.25">
      <c r="A27" s="12">
        <v>16</v>
      </c>
      <c r="B27" s="29" t="s">
        <v>114</v>
      </c>
      <c r="C27" s="12" t="s">
        <v>119</v>
      </c>
      <c r="D27" s="12">
        <v>1</v>
      </c>
      <c r="E27" s="32">
        <v>5000</v>
      </c>
      <c r="F27" s="30">
        <f t="shared" si="0"/>
        <v>5000</v>
      </c>
    </row>
    <row r="28" spans="1:6" ht="54" customHeight="1" x14ac:dyDescent="0.25">
      <c r="A28" s="12">
        <v>17</v>
      </c>
      <c r="B28" s="29" t="s">
        <v>115</v>
      </c>
      <c r="C28" s="12" t="s">
        <v>107</v>
      </c>
      <c r="D28" s="12">
        <v>35.380000000000003</v>
      </c>
      <c r="E28" s="32">
        <v>110</v>
      </c>
      <c r="F28" s="30">
        <f t="shared" si="0"/>
        <v>3891.8</v>
      </c>
    </row>
    <row r="29" spans="1:6" ht="54" customHeight="1" x14ac:dyDescent="0.25">
      <c r="A29" s="12">
        <v>18</v>
      </c>
      <c r="B29" s="29" t="s">
        <v>116</v>
      </c>
      <c r="C29" s="12" t="s">
        <v>104</v>
      </c>
      <c r="D29" s="12">
        <v>16</v>
      </c>
      <c r="E29" s="32">
        <v>2250</v>
      </c>
      <c r="F29" s="30">
        <f t="shared" si="0"/>
        <v>36000</v>
      </c>
    </row>
    <row r="30" spans="1:6" ht="32.25" customHeight="1" x14ac:dyDescent="0.25">
      <c r="A30" s="28"/>
      <c r="B30" s="11" t="s">
        <v>87</v>
      </c>
      <c r="C30" s="12" t="s">
        <v>88</v>
      </c>
      <c r="D30" s="28"/>
      <c r="E30" s="28"/>
      <c r="F30" s="31">
        <f>SUM(F2:F29)</f>
        <v>870555.41599999997</v>
      </c>
    </row>
    <row r="31" spans="1:6" ht="18.75" x14ac:dyDescent="0.25">
      <c r="A31" s="28"/>
      <c r="B31" s="28"/>
      <c r="C31" s="28"/>
      <c r="D31" s="28"/>
      <c r="E31" s="28"/>
      <c r="F31" s="12"/>
    </row>
  </sheetData>
  <pageMargins left="0.7" right="0.7" top="0.75" bottom="0.75" header="0.3" footer="0.3"/>
  <pageSetup paperSize="9"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4"/>
  <sheetViews>
    <sheetView tabSelected="1" topLeftCell="A105" zoomScaleNormal="100" zoomScaleSheetLayoutView="84" workbookViewId="0">
      <selection activeCell="H138" sqref="H138"/>
    </sheetView>
  </sheetViews>
  <sheetFormatPr defaultRowHeight="15" x14ac:dyDescent="0.25"/>
  <cols>
    <col min="1" max="1" width="9.140625" style="5"/>
    <col min="2" max="2" width="26.28515625" style="4" customWidth="1"/>
    <col min="3" max="4" width="5.85546875" style="4" customWidth="1"/>
    <col min="5" max="5" width="13" style="4" customWidth="1"/>
    <col min="6" max="6" width="13.7109375" style="4" customWidth="1"/>
    <col min="7" max="7" width="10.7109375" style="4" customWidth="1"/>
    <col min="8" max="8" width="15.42578125" style="4" customWidth="1"/>
    <col min="9" max="9" width="15.140625" style="4" customWidth="1"/>
    <col min="10" max="16384" width="9.140625" style="4"/>
  </cols>
  <sheetData>
    <row r="1" spans="1:9" s="1" customFormat="1" ht="37.5" customHeight="1" x14ac:dyDescent="0.25">
      <c r="A1" s="57" t="s">
        <v>9</v>
      </c>
      <c r="B1" s="57"/>
      <c r="C1" s="57"/>
      <c r="D1" s="57"/>
      <c r="E1" s="57"/>
      <c r="F1" s="57"/>
      <c r="G1" s="57"/>
      <c r="H1" s="57"/>
      <c r="I1" s="57"/>
    </row>
    <row r="2" spans="1:9" s="3" customFormat="1" ht="44.25" customHeight="1" x14ac:dyDescent="0.25">
      <c r="A2" s="48" t="s">
        <v>0</v>
      </c>
      <c r="B2" s="48" t="s">
        <v>1</v>
      </c>
      <c r="C2" s="58" t="s">
        <v>2</v>
      </c>
      <c r="D2" s="58"/>
      <c r="E2" s="48" t="s">
        <v>3</v>
      </c>
      <c r="F2" s="48" t="s">
        <v>4</v>
      </c>
      <c r="G2" s="48" t="s">
        <v>5</v>
      </c>
      <c r="H2" s="48" t="s">
        <v>6</v>
      </c>
      <c r="I2" s="48" t="s">
        <v>7</v>
      </c>
    </row>
    <row r="3" spans="1:9" s="3" customFormat="1" ht="21" x14ac:dyDescent="0.25">
      <c r="A3" s="33"/>
      <c r="B3" s="33"/>
      <c r="C3" s="33"/>
      <c r="D3" s="33"/>
      <c r="E3" s="33"/>
      <c r="F3" s="33"/>
      <c r="G3" s="33"/>
      <c r="H3" s="33"/>
      <c r="I3" s="33"/>
    </row>
    <row r="4" spans="1:9" s="3" customFormat="1" ht="21" x14ac:dyDescent="0.25">
      <c r="A4" s="34">
        <v>1</v>
      </c>
      <c r="B4" s="34" t="s">
        <v>10</v>
      </c>
      <c r="C4" s="34">
        <v>1</v>
      </c>
      <c r="D4" s="34">
        <v>2</v>
      </c>
      <c r="E4" s="34">
        <v>7.1</v>
      </c>
      <c r="F4" s="34">
        <v>1.43</v>
      </c>
      <c r="G4" s="34">
        <v>0.6</v>
      </c>
      <c r="H4" s="34">
        <f>G4*F4*E4*D4*C4</f>
        <v>12.183599999999998</v>
      </c>
      <c r="I4" s="33"/>
    </row>
    <row r="5" spans="1:9" s="3" customFormat="1" ht="21" x14ac:dyDescent="0.25">
      <c r="A5" s="34"/>
      <c r="B5" s="34"/>
      <c r="C5" s="34">
        <v>1</v>
      </c>
      <c r="D5" s="34">
        <v>2</v>
      </c>
      <c r="E5" s="34">
        <v>6.5</v>
      </c>
      <c r="F5" s="34">
        <v>1.43</v>
      </c>
      <c r="G5" s="34">
        <v>0.6</v>
      </c>
      <c r="H5" s="34">
        <f>G5*F5*E5*D5*C5</f>
        <v>11.154</v>
      </c>
      <c r="I5" s="33"/>
    </row>
    <row r="6" spans="1:9" s="3" customFormat="1" ht="21" x14ac:dyDescent="0.25">
      <c r="A6" s="34"/>
      <c r="B6" s="34"/>
      <c r="C6" s="34"/>
      <c r="D6" s="34"/>
      <c r="E6" s="34"/>
      <c r="F6" s="34"/>
      <c r="G6" s="33" t="s">
        <v>8</v>
      </c>
      <c r="H6" s="33">
        <f>SUM(H4:H5)</f>
        <v>23.337599999999998</v>
      </c>
      <c r="I6" s="33"/>
    </row>
    <row r="7" spans="1:9" s="3" customFormat="1" ht="21" x14ac:dyDescent="0.25">
      <c r="A7" s="34">
        <v>2</v>
      </c>
      <c r="B7" s="34" t="s">
        <v>25</v>
      </c>
      <c r="C7" s="34"/>
      <c r="D7" s="34"/>
      <c r="E7" s="34"/>
      <c r="F7" s="34"/>
      <c r="G7" s="34"/>
      <c r="H7" s="34"/>
      <c r="I7" s="33"/>
    </row>
    <row r="8" spans="1:9" s="3" customFormat="1" ht="21" x14ac:dyDescent="0.25">
      <c r="A8" s="34"/>
      <c r="B8" s="34"/>
      <c r="C8" s="34">
        <v>1</v>
      </c>
      <c r="D8" s="34">
        <v>1</v>
      </c>
      <c r="E8" s="34">
        <v>5.65</v>
      </c>
      <c r="F8" s="34">
        <v>5.04</v>
      </c>
      <c r="G8" s="35">
        <v>0.4</v>
      </c>
      <c r="H8" s="33">
        <f>G8*F8*E8*D8*C8</f>
        <v>11.390400000000001</v>
      </c>
      <c r="I8" s="33"/>
    </row>
    <row r="9" spans="1:9" s="3" customFormat="1" ht="21" x14ac:dyDescent="0.25">
      <c r="A9" s="34"/>
      <c r="B9" s="34"/>
      <c r="C9" s="34"/>
      <c r="D9" s="34"/>
      <c r="E9" s="34"/>
      <c r="F9" s="34"/>
      <c r="G9" s="34"/>
      <c r="H9" s="34"/>
      <c r="I9" s="33"/>
    </row>
    <row r="10" spans="1:9" s="3" customFormat="1" ht="21" x14ac:dyDescent="0.25">
      <c r="A10" s="34"/>
      <c r="B10" s="34"/>
      <c r="C10" s="34"/>
      <c r="D10" s="34"/>
      <c r="E10" s="34"/>
      <c r="F10" s="34"/>
      <c r="G10" s="34"/>
      <c r="H10" s="34"/>
      <c r="I10" s="33"/>
    </row>
    <row r="11" spans="1:9" s="3" customFormat="1" ht="21" x14ac:dyDescent="0.25">
      <c r="A11" s="33">
        <v>3</v>
      </c>
      <c r="B11" s="33" t="s">
        <v>11</v>
      </c>
      <c r="C11" s="33"/>
      <c r="D11" s="33"/>
      <c r="E11" s="33"/>
      <c r="F11" s="33"/>
      <c r="G11" s="33"/>
      <c r="H11" s="34"/>
      <c r="I11" s="33"/>
    </row>
    <row r="12" spans="1:9" s="3" customFormat="1" ht="21" x14ac:dyDescent="0.25">
      <c r="A12" s="33"/>
      <c r="B12" s="34" t="s">
        <v>23</v>
      </c>
      <c r="C12" s="34">
        <v>1</v>
      </c>
      <c r="D12" s="34">
        <v>2</v>
      </c>
      <c r="E12" s="34">
        <v>6.4</v>
      </c>
      <c r="F12" s="34">
        <v>0.63</v>
      </c>
      <c r="G12" s="34">
        <v>0.2</v>
      </c>
      <c r="H12" s="34">
        <f>G12*F12*E12*D12*C12</f>
        <v>1.6128</v>
      </c>
      <c r="I12" s="33"/>
    </row>
    <row r="13" spans="1:9" s="3" customFormat="1" ht="21" x14ac:dyDescent="0.25">
      <c r="A13" s="33"/>
      <c r="B13" s="34" t="s">
        <v>23</v>
      </c>
      <c r="C13" s="34">
        <v>1</v>
      </c>
      <c r="D13" s="34">
        <v>2</v>
      </c>
      <c r="E13" s="34">
        <v>5.9</v>
      </c>
      <c r="F13" s="34">
        <v>0.63</v>
      </c>
      <c r="G13" s="34">
        <v>0.2</v>
      </c>
      <c r="H13" s="34">
        <f>G13*F13*E13*D13*C13</f>
        <v>1.4868000000000001</v>
      </c>
      <c r="I13" s="33"/>
    </row>
    <row r="14" spans="1:9" s="3" customFormat="1" ht="21" x14ac:dyDescent="0.25">
      <c r="A14" s="33"/>
      <c r="B14" s="34" t="s">
        <v>24</v>
      </c>
      <c r="C14" s="34">
        <v>1</v>
      </c>
      <c r="D14" s="34">
        <v>1</v>
      </c>
      <c r="E14" s="34">
        <v>5.65</v>
      </c>
      <c r="F14" s="34">
        <v>5.04</v>
      </c>
      <c r="G14" s="34">
        <v>0.2</v>
      </c>
      <c r="H14" s="34">
        <f>G14*F14*E14*D14*C14</f>
        <v>5.6952000000000007</v>
      </c>
      <c r="I14" s="33"/>
    </row>
    <row r="15" spans="1:9" s="3" customFormat="1" ht="21" x14ac:dyDescent="0.25">
      <c r="A15" s="33"/>
      <c r="B15" s="34" t="s">
        <v>29</v>
      </c>
      <c r="C15" s="34">
        <v>1</v>
      </c>
      <c r="D15" s="34">
        <v>1</v>
      </c>
      <c r="E15" s="34">
        <v>1.85</v>
      </c>
      <c r="F15" s="34">
        <v>0.6</v>
      </c>
      <c r="G15" s="34">
        <v>0.2</v>
      </c>
      <c r="H15" s="34">
        <f>G15*F15*E15*D15*C15</f>
        <v>0.222</v>
      </c>
      <c r="I15" s="33"/>
    </row>
    <row r="16" spans="1:9" s="3" customFormat="1" ht="21" x14ac:dyDescent="0.25">
      <c r="A16" s="33"/>
      <c r="B16" s="34"/>
      <c r="C16" s="34"/>
      <c r="D16" s="34"/>
      <c r="E16" s="34"/>
      <c r="F16" s="34"/>
      <c r="G16" s="33" t="s">
        <v>8</v>
      </c>
      <c r="H16" s="33">
        <f>SUM(H12:H15)</f>
        <v>9.0167999999999999</v>
      </c>
      <c r="I16" s="33"/>
    </row>
    <row r="17" spans="1:9" s="3" customFormat="1" ht="21" x14ac:dyDescent="0.25">
      <c r="A17" s="33"/>
      <c r="B17" s="34"/>
      <c r="C17" s="34"/>
      <c r="D17" s="34"/>
      <c r="E17" s="34"/>
      <c r="F17" s="34"/>
      <c r="G17" s="34"/>
      <c r="H17" s="34"/>
      <c r="I17" s="33"/>
    </row>
    <row r="18" spans="1:9" s="3" customFormat="1" ht="21" x14ac:dyDescent="0.25">
      <c r="A18" s="33"/>
      <c r="B18" s="34"/>
      <c r="C18" s="34"/>
      <c r="D18" s="34"/>
      <c r="E18" s="34"/>
      <c r="F18" s="34"/>
      <c r="G18" s="34"/>
      <c r="H18" s="36"/>
      <c r="I18" s="33"/>
    </row>
    <row r="19" spans="1:9" s="3" customFormat="1" ht="21" x14ac:dyDescent="0.25">
      <c r="A19" s="33">
        <v>4</v>
      </c>
      <c r="B19" s="33" t="s">
        <v>14</v>
      </c>
      <c r="C19" s="34"/>
      <c r="D19" s="34"/>
      <c r="E19" s="34"/>
      <c r="F19" s="34"/>
      <c r="G19" s="34"/>
      <c r="H19" s="37"/>
      <c r="I19" s="33"/>
    </row>
    <row r="20" spans="1:9" s="3" customFormat="1" ht="21" x14ac:dyDescent="0.25">
      <c r="A20" s="33"/>
      <c r="B20" s="34" t="s">
        <v>23</v>
      </c>
      <c r="C20" s="34">
        <v>1</v>
      </c>
      <c r="D20" s="34">
        <v>2</v>
      </c>
      <c r="E20" s="34">
        <v>6.4</v>
      </c>
      <c r="F20" s="34">
        <v>0.63</v>
      </c>
      <c r="G20" s="35">
        <v>0.15</v>
      </c>
      <c r="H20" s="34">
        <f>G20*F20*E20*D20*C20</f>
        <v>1.2096</v>
      </c>
      <c r="I20" s="33"/>
    </row>
    <row r="21" spans="1:9" s="3" customFormat="1" ht="21" x14ac:dyDescent="0.25">
      <c r="A21" s="33"/>
      <c r="B21" s="34" t="s">
        <v>23</v>
      </c>
      <c r="C21" s="34">
        <v>1</v>
      </c>
      <c r="D21" s="34">
        <v>2</v>
      </c>
      <c r="E21" s="34">
        <v>5.9</v>
      </c>
      <c r="F21" s="34">
        <v>0.63</v>
      </c>
      <c r="G21" s="35">
        <v>0.15</v>
      </c>
      <c r="H21" s="34">
        <f>G21*F21*E21*D21*C21</f>
        <v>1.1151</v>
      </c>
      <c r="I21" s="33"/>
    </row>
    <row r="22" spans="1:9" s="3" customFormat="1" ht="21" x14ac:dyDescent="0.25">
      <c r="A22" s="33"/>
      <c r="B22" s="34" t="s">
        <v>24</v>
      </c>
      <c r="C22" s="34">
        <v>1</v>
      </c>
      <c r="D22" s="34">
        <v>1</v>
      </c>
      <c r="E22" s="34">
        <v>5.65</v>
      </c>
      <c r="F22" s="34">
        <v>5.04</v>
      </c>
      <c r="G22" s="34">
        <v>0.15</v>
      </c>
      <c r="H22" s="34">
        <f t="shared" ref="H22:H24" si="0">G22*F22*E22*D22*C22</f>
        <v>4.2713999999999999</v>
      </c>
      <c r="I22" s="33"/>
    </row>
    <row r="23" spans="1:9" s="3" customFormat="1" ht="21" x14ac:dyDescent="0.25">
      <c r="A23" s="33"/>
      <c r="B23" s="34" t="s">
        <v>29</v>
      </c>
      <c r="C23" s="34">
        <v>1</v>
      </c>
      <c r="D23" s="34">
        <v>1</v>
      </c>
      <c r="E23" s="34">
        <v>1.85</v>
      </c>
      <c r="F23" s="34">
        <v>0.6</v>
      </c>
      <c r="G23" s="34">
        <v>0.15</v>
      </c>
      <c r="H23" s="34">
        <f t="shared" si="0"/>
        <v>0.16650000000000001</v>
      </c>
      <c r="I23" s="33"/>
    </row>
    <row r="24" spans="1:9" s="3" customFormat="1" ht="21" x14ac:dyDescent="0.25">
      <c r="A24" s="33"/>
      <c r="B24" s="34" t="s">
        <v>103</v>
      </c>
      <c r="C24" s="34">
        <v>2</v>
      </c>
      <c r="D24" s="34">
        <v>1</v>
      </c>
      <c r="E24" s="34">
        <v>3</v>
      </c>
      <c r="F24" s="34">
        <v>1.5</v>
      </c>
      <c r="G24" s="34">
        <v>0.15</v>
      </c>
      <c r="H24" s="34">
        <f t="shared" si="0"/>
        <v>1.3499999999999999</v>
      </c>
      <c r="I24" s="33"/>
    </row>
    <row r="25" spans="1:9" s="3" customFormat="1" ht="21" x14ac:dyDescent="0.25">
      <c r="A25" s="33"/>
      <c r="B25" s="34"/>
      <c r="C25" s="34"/>
      <c r="D25" s="34"/>
      <c r="E25" s="34"/>
      <c r="F25" s="34"/>
      <c r="G25" s="33" t="s">
        <v>8</v>
      </c>
      <c r="H25" s="36">
        <f>SUM(H20:H24)</f>
        <v>8.1126000000000005</v>
      </c>
      <c r="I25" s="33"/>
    </row>
    <row r="26" spans="1:9" s="3" customFormat="1" ht="21" x14ac:dyDescent="0.25">
      <c r="A26" s="33"/>
      <c r="B26" s="34"/>
      <c r="C26" s="34"/>
      <c r="D26" s="34"/>
      <c r="E26" s="34"/>
      <c r="F26" s="34"/>
      <c r="G26" s="34"/>
      <c r="H26" s="34"/>
      <c r="I26" s="33"/>
    </row>
    <row r="27" spans="1:9" s="3" customFormat="1" ht="21" x14ac:dyDescent="0.25">
      <c r="A27" s="33"/>
      <c r="B27" s="34"/>
      <c r="C27" s="33"/>
      <c r="D27" s="33"/>
      <c r="E27" s="33"/>
      <c r="F27" s="33"/>
      <c r="G27" s="33"/>
      <c r="H27" s="36"/>
      <c r="I27" s="33"/>
    </row>
    <row r="28" spans="1:9" s="3" customFormat="1" ht="21" x14ac:dyDescent="0.25">
      <c r="A28" s="33"/>
      <c r="B28" s="34"/>
      <c r="C28" s="33"/>
      <c r="D28" s="33"/>
      <c r="E28" s="33"/>
      <c r="F28" s="33"/>
      <c r="G28" s="33"/>
      <c r="H28" s="36"/>
      <c r="I28" s="33"/>
    </row>
    <row r="29" spans="1:9" s="3" customFormat="1" ht="21" x14ac:dyDescent="0.25">
      <c r="A29" s="33">
        <v>5</v>
      </c>
      <c r="B29" s="33" t="s">
        <v>13</v>
      </c>
      <c r="C29" s="33"/>
      <c r="D29" s="33"/>
      <c r="E29" s="33"/>
      <c r="F29" s="33"/>
      <c r="G29" s="33"/>
      <c r="H29" s="36"/>
      <c r="I29" s="33"/>
    </row>
    <row r="30" spans="1:9" s="3" customFormat="1" ht="21" x14ac:dyDescent="0.25">
      <c r="A30" s="33"/>
      <c r="B30" s="34" t="s">
        <v>15</v>
      </c>
      <c r="C30" s="34">
        <v>1</v>
      </c>
      <c r="D30" s="34">
        <v>2</v>
      </c>
      <c r="E30" s="34">
        <v>6.1</v>
      </c>
      <c r="F30" s="34">
        <v>0.23</v>
      </c>
      <c r="G30" s="34">
        <v>0.45</v>
      </c>
      <c r="H30" s="37">
        <f>G30*F30*E30*D30*C30</f>
        <v>1.2626999999999999</v>
      </c>
      <c r="I30" s="33"/>
    </row>
    <row r="31" spans="1:9" s="3" customFormat="1" ht="21" x14ac:dyDescent="0.25">
      <c r="A31" s="33"/>
      <c r="B31" s="34" t="s">
        <v>16</v>
      </c>
      <c r="C31" s="34">
        <v>1</v>
      </c>
      <c r="D31" s="34">
        <v>2</v>
      </c>
      <c r="E31" s="34">
        <v>5.5</v>
      </c>
      <c r="F31" s="34">
        <v>0.23</v>
      </c>
      <c r="G31" s="34">
        <v>0.45</v>
      </c>
      <c r="H31" s="37">
        <f>G31*F31*E31*D31*C31</f>
        <v>1.1385000000000001</v>
      </c>
      <c r="I31" s="33"/>
    </row>
    <row r="32" spans="1:9" s="3" customFormat="1" ht="21" x14ac:dyDescent="0.25">
      <c r="A32" s="33"/>
      <c r="B32" s="34" t="s">
        <v>17</v>
      </c>
      <c r="C32" s="34">
        <v>1</v>
      </c>
      <c r="D32" s="34">
        <v>4</v>
      </c>
      <c r="E32" s="34">
        <v>1.8</v>
      </c>
      <c r="F32" s="34">
        <v>0.23</v>
      </c>
      <c r="G32" s="34">
        <v>0.23</v>
      </c>
      <c r="H32" s="37">
        <f>G32*F32*E32*D32*C32</f>
        <v>0.38088000000000005</v>
      </c>
      <c r="I32" s="33"/>
    </row>
    <row r="33" spans="1:9" s="3" customFormat="1" ht="21" x14ac:dyDescent="0.25">
      <c r="A33" s="33"/>
      <c r="B33" s="34"/>
      <c r="C33" s="34"/>
      <c r="D33" s="34"/>
      <c r="E33" s="34"/>
      <c r="F33" s="34"/>
      <c r="G33" s="33" t="s">
        <v>8</v>
      </c>
      <c r="H33" s="36">
        <f>SUM(H30:H32)</f>
        <v>2.7820800000000001</v>
      </c>
      <c r="I33" s="33"/>
    </row>
    <row r="34" spans="1:9" s="3" customFormat="1" ht="21" x14ac:dyDescent="0.25">
      <c r="A34" s="33"/>
      <c r="B34" s="34"/>
      <c r="C34" s="34"/>
      <c r="D34" s="34"/>
      <c r="E34" s="34"/>
      <c r="F34" s="34"/>
      <c r="G34" s="33"/>
      <c r="H34" s="36"/>
      <c r="I34" s="33"/>
    </row>
    <row r="35" spans="1:9" s="3" customFormat="1" ht="21" x14ac:dyDescent="0.25">
      <c r="A35" s="33">
        <v>6</v>
      </c>
      <c r="B35" s="33" t="s">
        <v>38</v>
      </c>
      <c r="C35" s="34"/>
      <c r="D35" s="34"/>
      <c r="E35" s="34"/>
      <c r="F35" s="34"/>
      <c r="G35" s="34"/>
      <c r="H35" s="37"/>
      <c r="I35" s="33"/>
    </row>
    <row r="36" spans="1:9" s="3" customFormat="1" ht="21" x14ac:dyDescent="0.25">
      <c r="A36" s="33"/>
      <c r="B36" s="34" t="s">
        <v>15</v>
      </c>
      <c r="C36" s="34">
        <v>1</v>
      </c>
      <c r="D36" s="34">
        <v>4</v>
      </c>
      <c r="E36" s="34">
        <v>6.1</v>
      </c>
      <c r="F36" s="34"/>
      <c r="G36" s="34">
        <v>0.45</v>
      </c>
      <c r="H36" s="37">
        <f>G36*E36*D36*C36</f>
        <v>10.98</v>
      </c>
      <c r="I36" s="33"/>
    </row>
    <row r="37" spans="1:9" s="3" customFormat="1" ht="21" x14ac:dyDescent="0.25">
      <c r="A37" s="33"/>
      <c r="B37" s="34" t="s">
        <v>16</v>
      </c>
      <c r="C37" s="34">
        <v>1</v>
      </c>
      <c r="D37" s="34">
        <v>4</v>
      </c>
      <c r="E37" s="34">
        <v>5.5</v>
      </c>
      <c r="F37" s="34"/>
      <c r="G37" s="34">
        <v>0.45</v>
      </c>
      <c r="H37" s="37">
        <f t="shared" ref="H37" si="1">G37*E37*D37*C37</f>
        <v>9.9</v>
      </c>
      <c r="I37" s="33"/>
    </row>
    <row r="38" spans="1:9" s="3" customFormat="1" ht="21" x14ac:dyDescent="0.25">
      <c r="A38" s="33"/>
      <c r="B38" s="34" t="s">
        <v>17</v>
      </c>
      <c r="C38" s="34">
        <v>2</v>
      </c>
      <c r="D38" s="34">
        <v>4</v>
      </c>
      <c r="E38" s="34">
        <v>1.8</v>
      </c>
      <c r="F38" s="34"/>
      <c r="G38" s="34">
        <v>0.23</v>
      </c>
      <c r="H38" s="37">
        <f>G38*E38*D38*C38</f>
        <v>3.3120000000000003</v>
      </c>
      <c r="I38" s="33"/>
    </row>
    <row r="39" spans="1:9" s="3" customFormat="1" ht="21" x14ac:dyDescent="0.25">
      <c r="A39" s="33"/>
      <c r="B39" s="34"/>
      <c r="C39" s="34"/>
      <c r="D39" s="34"/>
      <c r="E39" s="34"/>
      <c r="F39" s="34"/>
      <c r="G39" s="33" t="s">
        <v>8</v>
      </c>
      <c r="H39" s="36">
        <f>SUM(H36:H38)</f>
        <v>24.192000000000004</v>
      </c>
      <c r="I39" s="33"/>
    </row>
    <row r="40" spans="1:9" s="3" customFormat="1" ht="21" x14ac:dyDescent="0.25">
      <c r="A40" s="33"/>
      <c r="B40" s="34"/>
      <c r="C40" s="34"/>
      <c r="D40" s="34"/>
      <c r="E40" s="34"/>
      <c r="F40" s="34"/>
      <c r="G40" s="34"/>
      <c r="H40" s="37"/>
      <c r="I40" s="33"/>
    </row>
    <row r="41" spans="1:9" s="3" customFormat="1" ht="21" x14ac:dyDescent="0.25">
      <c r="A41" s="33"/>
      <c r="B41" s="34"/>
      <c r="C41" s="33"/>
      <c r="D41" s="33"/>
      <c r="E41" s="33"/>
      <c r="F41" s="33"/>
      <c r="G41" s="33"/>
      <c r="H41" s="36"/>
      <c r="I41" s="33"/>
    </row>
    <row r="42" spans="1:9" ht="21" x14ac:dyDescent="0.35">
      <c r="A42" s="38">
        <v>7</v>
      </c>
      <c r="B42" s="38" t="s">
        <v>12</v>
      </c>
      <c r="C42" s="39"/>
      <c r="D42" s="39"/>
      <c r="E42" s="39"/>
      <c r="F42" s="39"/>
      <c r="G42" s="39"/>
      <c r="H42" s="37"/>
      <c r="I42" s="39"/>
    </row>
    <row r="43" spans="1:9" ht="21" x14ac:dyDescent="0.35">
      <c r="A43" s="38"/>
      <c r="B43" s="39" t="s">
        <v>19</v>
      </c>
      <c r="C43" s="39">
        <v>1</v>
      </c>
      <c r="D43" s="39">
        <v>2</v>
      </c>
      <c r="E43" s="39">
        <v>6.1</v>
      </c>
      <c r="F43" s="39">
        <v>0.23</v>
      </c>
      <c r="G43" s="40">
        <v>3</v>
      </c>
      <c r="H43" s="37">
        <f>G43*F43*E43*D43*C43</f>
        <v>8.418000000000001</v>
      </c>
      <c r="I43" s="39"/>
    </row>
    <row r="44" spans="1:9" ht="21" x14ac:dyDescent="0.35">
      <c r="A44" s="38"/>
      <c r="B44" s="39" t="s">
        <v>19</v>
      </c>
      <c r="C44" s="39">
        <v>1</v>
      </c>
      <c r="D44" s="39">
        <v>2</v>
      </c>
      <c r="E44" s="39">
        <v>5.5</v>
      </c>
      <c r="F44" s="39">
        <v>0.23</v>
      </c>
      <c r="G44" s="40">
        <v>3</v>
      </c>
      <c r="H44" s="37">
        <f t="shared" ref="H44:H53" si="2">G44*F44*E44*D44*C44</f>
        <v>7.5900000000000007</v>
      </c>
      <c r="I44" s="39"/>
    </row>
    <row r="45" spans="1:9" ht="21" x14ac:dyDescent="0.35">
      <c r="A45" s="38"/>
      <c r="B45" s="39" t="s">
        <v>20</v>
      </c>
      <c r="C45" s="39">
        <v>1</v>
      </c>
      <c r="D45" s="39">
        <v>4</v>
      </c>
      <c r="E45" s="39">
        <v>1.6</v>
      </c>
      <c r="F45" s="39">
        <v>0.23</v>
      </c>
      <c r="G45" s="40">
        <v>2</v>
      </c>
      <c r="H45" s="37">
        <f t="shared" si="2"/>
        <v>2.9440000000000004</v>
      </c>
      <c r="I45" s="39"/>
    </row>
    <row r="46" spans="1:9" ht="21" x14ac:dyDescent="0.35">
      <c r="A46" s="38"/>
      <c r="B46" s="39" t="s">
        <v>20</v>
      </c>
      <c r="C46" s="39">
        <v>1</v>
      </c>
      <c r="D46" s="39">
        <v>4</v>
      </c>
      <c r="E46" s="39">
        <v>0.45</v>
      </c>
      <c r="F46" s="39">
        <v>0.23</v>
      </c>
      <c r="G46" s="40">
        <v>2</v>
      </c>
      <c r="H46" s="37">
        <f t="shared" si="2"/>
        <v>0.82800000000000007</v>
      </c>
      <c r="I46" s="39"/>
    </row>
    <row r="47" spans="1:9" ht="21" x14ac:dyDescent="0.35">
      <c r="A47" s="38"/>
      <c r="B47" s="39" t="s">
        <v>26</v>
      </c>
      <c r="C47" s="39">
        <v>1</v>
      </c>
      <c r="D47" s="39">
        <v>1</v>
      </c>
      <c r="E47" s="39">
        <v>5.64</v>
      </c>
      <c r="F47" s="39">
        <v>0.23</v>
      </c>
      <c r="G47" s="39">
        <v>0.2</v>
      </c>
      <c r="H47" s="37">
        <f t="shared" si="2"/>
        <v>0.25944</v>
      </c>
      <c r="I47" s="39"/>
    </row>
    <row r="48" spans="1:9" ht="21" x14ac:dyDescent="0.35">
      <c r="A48" s="38"/>
      <c r="B48" s="39" t="s">
        <v>27</v>
      </c>
      <c r="C48" s="34">
        <v>1</v>
      </c>
      <c r="D48" s="34">
        <v>4</v>
      </c>
      <c r="E48" s="34">
        <v>1.8</v>
      </c>
      <c r="F48" s="34">
        <v>0.23</v>
      </c>
      <c r="G48" s="34">
        <v>0.2</v>
      </c>
      <c r="H48" s="37">
        <f t="shared" si="2"/>
        <v>0.33120000000000005</v>
      </c>
      <c r="I48" s="39"/>
    </row>
    <row r="49" spans="1:9" ht="21" x14ac:dyDescent="0.35">
      <c r="A49" s="38"/>
      <c r="B49" s="39" t="s">
        <v>28</v>
      </c>
      <c r="C49" s="39">
        <v>1</v>
      </c>
      <c r="D49" s="39">
        <v>1</v>
      </c>
      <c r="E49" s="39">
        <v>5.64</v>
      </c>
      <c r="F49" s="39">
        <v>0.23</v>
      </c>
      <c r="G49" s="39">
        <v>0.15</v>
      </c>
      <c r="H49" s="37">
        <f t="shared" si="2"/>
        <v>0.19458</v>
      </c>
      <c r="I49" s="39"/>
    </row>
    <row r="50" spans="1:9" ht="21" x14ac:dyDescent="0.35">
      <c r="A50" s="38"/>
      <c r="B50" s="39" t="s">
        <v>28</v>
      </c>
      <c r="C50" s="39">
        <v>1</v>
      </c>
      <c r="D50" s="39">
        <v>2</v>
      </c>
      <c r="E50" s="39">
        <v>0.75</v>
      </c>
      <c r="F50" s="39">
        <v>0.23</v>
      </c>
      <c r="G50" s="33">
        <v>0.15</v>
      </c>
      <c r="H50" s="37">
        <f t="shared" si="2"/>
        <v>5.1750000000000004E-2</v>
      </c>
      <c r="I50" s="39"/>
    </row>
    <row r="51" spans="1:9" ht="21" x14ac:dyDescent="0.35">
      <c r="A51" s="38"/>
      <c r="B51" s="39" t="s">
        <v>29</v>
      </c>
      <c r="C51" s="39">
        <v>1</v>
      </c>
      <c r="D51" s="39">
        <v>1</v>
      </c>
      <c r="E51" s="39">
        <v>1.25</v>
      </c>
      <c r="F51" s="39">
        <v>0.3</v>
      </c>
      <c r="G51" s="33">
        <v>0.5</v>
      </c>
      <c r="H51" s="37">
        <f t="shared" si="2"/>
        <v>0.1875</v>
      </c>
      <c r="I51" s="39"/>
    </row>
    <row r="52" spans="1:9" ht="21" x14ac:dyDescent="0.35">
      <c r="A52" s="38"/>
      <c r="B52" s="39" t="s">
        <v>29</v>
      </c>
      <c r="C52" s="39">
        <v>1</v>
      </c>
      <c r="D52" s="39">
        <v>1</v>
      </c>
      <c r="E52" s="39">
        <v>1.25</v>
      </c>
      <c r="F52" s="39">
        <v>0.3</v>
      </c>
      <c r="G52" s="33">
        <v>0.7</v>
      </c>
      <c r="H52" s="37">
        <f t="shared" si="2"/>
        <v>0.26250000000000001</v>
      </c>
      <c r="I52" s="39"/>
    </row>
    <row r="53" spans="1:9" ht="21" x14ac:dyDescent="0.35">
      <c r="A53" s="38"/>
      <c r="B53" s="39" t="s">
        <v>103</v>
      </c>
      <c r="C53" s="39">
        <v>2</v>
      </c>
      <c r="D53" s="39">
        <v>1</v>
      </c>
      <c r="E53" s="39">
        <v>3</v>
      </c>
      <c r="F53" s="39">
        <v>1.5</v>
      </c>
      <c r="G53" s="33">
        <v>1.2</v>
      </c>
      <c r="H53" s="37">
        <f t="shared" si="2"/>
        <v>10.799999999999999</v>
      </c>
      <c r="I53" s="39"/>
    </row>
    <row r="54" spans="1:9" ht="21" x14ac:dyDescent="0.35">
      <c r="A54" s="38"/>
      <c r="B54" s="39"/>
      <c r="C54" s="39"/>
      <c r="D54" s="39"/>
      <c r="E54" s="39"/>
      <c r="F54" s="39"/>
      <c r="G54" s="33"/>
      <c r="H54" s="37"/>
      <c r="I54" s="39"/>
    </row>
    <row r="55" spans="1:9" ht="21" x14ac:dyDescent="0.35">
      <c r="A55" s="38"/>
      <c r="B55" s="39"/>
      <c r="C55" s="39"/>
      <c r="D55" s="39"/>
      <c r="E55" s="39"/>
      <c r="F55" s="39"/>
      <c r="G55" s="33" t="s">
        <v>8</v>
      </c>
      <c r="H55" s="36">
        <f>SUM(H43:H53)</f>
        <v>31.866969999999995</v>
      </c>
      <c r="I55" s="39"/>
    </row>
    <row r="56" spans="1:9" ht="21" x14ac:dyDescent="0.35">
      <c r="A56" s="38"/>
      <c r="B56" s="39"/>
      <c r="C56" s="39"/>
      <c r="D56" s="39"/>
      <c r="E56" s="39"/>
      <c r="F56" s="39"/>
      <c r="G56" s="33"/>
      <c r="H56" s="41"/>
      <c r="I56" s="39"/>
    </row>
    <row r="57" spans="1:9" ht="21" x14ac:dyDescent="0.35">
      <c r="A57" s="38">
        <v>8</v>
      </c>
      <c r="B57" s="38" t="s">
        <v>18</v>
      </c>
      <c r="C57" s="39"/>
      <c r="D57" s="39"/>
      <c r="E57" s="39"/>
      <c r="F57" s="39"/>
      <c r="G57" s="39"/>
      <c r="H57" s="37"/>
      <c r="I57" s="39"/>
    </row>
    <row r="58" spans="1:9" ht="21" x14ac:dyDescent="0.35">
      <c r="A58" s="38"/>
      <c r="B58" s="39" t="s">
        <v>34</v>
      </c>
      <c r="C58" s="39">
        <v>2</v>
      </c>
      <c r="D58" s="39">
        <v>2</v>
      </c>
      <c r="E58" s="39">
        <v>6.1</v>
      </c>
      <c r="F58" s="39"/>
      <c r="G58" s="40">
        <v>3</v>
      </c>
      <c r="H58" s="37">
        <f>G58*E58*D58*C58</f>
        <v>73.199999999999989</v>
      </c>
      <c r="I58" s="39"/>
    </row>
    <row r="59" spans="1:9" ht="21" x14ac:dyDescent="0.35">
      <c r="A59" s="38"/>
      <c r="B59" s="39" t="s">
        <v>34</v>
      </c>
      <c r="C59" s="39">
        <v>2</v>
      </c>
      <c r="D59" s="39">
        <v>2</v>
      </c>
      <c r="E59" s="39">
        <v>5.5</v>
      </c>
      <c r="F59" s="39"/>
      <c r="G59" s="40">
        <v>3</v>
      </c>
      <c r="H59" s="37">
        <f t="shared" ref="H59:H73" si="3">G59*E59*D59*C59</f>
        <v>66</v>
      </c>
      <c r="I59" s="39"/>
    </row>
    <row r="60" spans="1:9" ht="21" x14ac:dyDescent="0.35">
      <c r="A60" s="38"/>
      <c r="B60" s="39" t="s">
        <v>22</v>
      </c>
      <c r="C60" s="39">
        <v>2</v>
      </c>
      <c r="D60" s="39">
        <v>2</v>
      </c>
      <c r="E60" s="39">
        <v>1.6</v>
      </c>
      <c r="F60" s="39"/>
      <c r="G60" s="40">
        <v>2</v>
      </c>
      <c r="H60" s="37">
        <f t="shared" si="3"/>
        <v>12.8</v>
      </c>
      <c r="I60" s="39"/>
    </row>
    <row r="61" spans="1:9" ht="21" x14ac:dyDescent="0.35">
      <c r="A61" s="38"/>
      <c r="B61" s="39" t="s">
        <v>21</v>
      </c>
      <c r="C61" s="39">
        <v>4</v>
      </c>
      <c r="D61" s="39">
        <v>4</v>
      </c>
      <c r="E61" s="39">
        <v>0.45</v>
      </c>
      <c r="F61" s="39"/>
      <c r="G61" s="42">
        <v>2</v>
      </c>
      <c r="H61" s="37">
        <f t="shared" si="3"/>
        <v>14.4</v>
      </c>
      <c r="I61" s="39"/>
    </row>
    <row r="62" spans="1:9" ht="21" x14ac:dyDescent="0.35">
      <c r="A62" s="38"/>
      <c r="B62" s="39" t="s">
        <v>26</v>
      </c>
      <c r="C62" s="39">
        <v>2</v>
      </c>
      <c r="D62" s="39">
        <v>2</v>
      </c>
      <c r="E62" s="39">
        <v>5.64</v>
      </c>
      <c r="F62" s="39"/>
      <c r="G62" s="39">
        <v>0.2</v>
      </c>
      <c r="H62" s="37">
        <f t="shared" si="3"/>
        <v>4.5119999999999996</v>
      </c>
      <c r="I62" s="39"/>
    </row>
    <row r="63" spans="1:9" ht="21" x14ac:dyDescent="0.35">
      <c r="A63" s="38"/>
      <c r="B63" s="39" t="s">
        <v>27</v>
      </c>
      <c r="C63" s="34">
        <v>2</v>
      </c>
      <c r="D63" s="34">
        <f>2*4</f>
        <v>8</v>
      </c>
      <c r="E63" s="34">
        <v>1.8</v>
      </c>
      <c r="F63" s="34"/>
      <c r="G63" s="34">
        <v>0.2</v>
      </c>
      <c r="H63" s="37">
        <f t="shared" si="3"/>
        <v>5.7600000000000007</v>
      </c>
      <c r="I63" s="39"/>
    </row>
    <row r="64" spans="1:9" ht="21" x14ac:dyDescent="0.35">
      <c r="A64" s="38"/>
      <c r="B64" s="39" t="s">
        <v>28</v>
      </c>
      <c r="C64" s="39">
        <v>2</v>
      </c>
      <c r="D64" s="39">
        <v>2</v>
      </c>
      <c r="E64" s="39">
        <v>5.64</v>
      </c>
      <c r="F64" s="39"/>
      <c r="G64" s="39">
        <v>0.15</v>
      </c>
      <c r="H64" s="37">
        <f t="shared" si="3"/>
        <v>3.3839999999999999</v>
      </c>
      <c r="I64" s="39"/>
    </row>
    <row r="65" spans="1:9" ht="21" x14ac:dyDescent="0.35">
      <c r="A65" s="38"/>
      <c r="B65" s="39" t="s">
        <v>28</v>
      </c>
      <c r="C65" s="39">
        <v>2</v>
      </c>
      <c r="D65" s="39">
        <v>4</v>
      </c>
      <c r="E65" s="39">
        <v>0.75</v>
      </c>
      <c r="F65" s="39"/>
      <c r="G65" s="34">
        <v>0.15</v>
      </c>
      <c r="H65" s="37">
        <f t="shared" si="3"/>
        <v>0.89999999999999991</v>
      </c>
      <c r="I65" s="39"/>
    </row>
    <row r="66" spans="1:9" ht="21" x14ac:dyDescent="0.35">
      <c r="A66" s="38"/>
      <c r="B66" s="39" t="s">
        <v>30</v>
      </c>
      <c r="C66" s="39">
        <v>1</v>
      </c>
      <c r="D66" s="39">
        <v>2</v>
      </c>
      <c r="E66" s="39">
        <v>1.25</v>
      </c>
      <c r="F66" s="39"/>
      <c r="G66" s="34">
        <v>0.3</v>
      </c>
      <c r="H66" s="37">
        <f t="shared" si="3"/>
        <v>0.75</v>
      </c>
      <c r="I66" s="39"/>
    </row>
    <row r="67" spans="1:9" ht="21" x14ac:dyDescent="0.35">
      <c r="A67" s="38"/>
      <c r="B67" s="39" t="s">
        <v>31</v>
      </c>
      <c r="C67" s="39">
        <v>1</v>
      </c>
      <c r="D67" s="39">
        <v>2</v>
      </c>
      <c r="E67" s="39">
        <v>1.25</v>
      </c>
      <c r="F67" s="39"/>
      <c r="G67" s="34">
        <v>0.2</v>
      </c>
      <c r="H67" s="37">
        <f t="shared" si="3"/>
        <v>0.5</v>
      </c>
      <c r="I67" s="39"/>
    </row>
    <row r="68" spans="1:9" ht="21" x14ac:dyDescent="0.35">
      <c r="A68" s="38"/>
      <c r="B68" s="39" t="s">
        <v>32</v>
      </c>
      <c r="C68" s="39">
        <v>1</v>
      </c>
      <c r="D68" s="39">
        <v>2</v>
      </c>
      <c r="E68" s="39">
        <v>0.6</v>
      </c>
      <c r="F68" s="39"/>
      <c r="G68" s="34">
        <v>0.7</v>
      </c>
      <c r="H68" s="37">
        <f t="shared" si="3"/>
        <v>0.84</v>
      </c>
      <c r="I68" s="39"/>
    </row>
    <row r="69" spans="1:9" ht="21" x14ac:dyDescent="0.35">
      <c r="A69" s="38"/>
      <c r="B69" s="39" t="s">
        <v>46</v>
      </c>
      <c r="C69" s="39">
        <v>1</v>
      </c>
      <c r="D69" s="39">
        <v>1</v>
      </c>
      <c r="E69" s="39">
        <v>1.25</v>
      </c>
      <c r="F69" s="39"/>
      <c r="G69" s="34">
        <v>0.1</v>
      </c>
      <c r="H69" s="37">
        <f t="shared" si="3"/>
        <v>0.125</v>
      </c>
      <c r="I69" s="39"/>
    </row>
    <row r="70" spans="1:9" ht="21" x14ac:dyDescent="0.35">
      <c r="A70" s="38"/>
      <c r="B70" s="39" t="s">
        <v>46</v>
      </c>
      <c r="C70" s="39">
        <v>1</v>
      </c>
      <c r="D70" s="39">
        <v>2</v>
      </c>
      <c r="E70" s="39">
        <v>0.6</v>
      </c>
      <c r="F70" s="39"/>
      <c r="G70" s="34">
        <v>0.1</v>
      </c>
      <c r="H70" s="37">
        <f t="shared" si="3"/>
        <v>0.12</v>
      </c>
      <c r="I70" s="39"/>
    </row>
    <row r="71" spans="1:9" ht="21" x14ac:dyDescent="0.35">
      <c r="A71" s="38"/>
      <c r="B71" s="39" t="s">
        <v>47</v>
      </c>
      <c r="C71" s="39">
        <v>2</v>
      </c>
      <c r="D71" s="39">
        <v>5</v>
      </c>
      <c r="E71" s="39">
        <v>0.3</v>
      </c>
      <c r="F71" s="39"/>
      <c r="G71" s="34">
        <v>0.1</v>
      </c>
      <c r="H71" s="37">
        <f t="shared" si="3"/>
        <v>0.3</v>
      </c>
      <c r="I71" s="39"/>
    </row>
    <row r="72" spans="1:9" ht="21" x14ac:dyDescent="0.35">
      <c r="A72" s="38"/>
      <c r="B72" s="39" t="s">
        <v>47</v>
      </c>
      <c r="C72" s="39">
        <v>1</v>
      </c>
      <c r="D72" s="39">
        <v>5</v>
      </c>
      <c r="E72" s="39">
        <v>0.45</v>
      </c>
      <c r="F72" s="39"/>
      <c r="G72" s="34">
        <v>0.2</v>
      </c>
      <c r="H72" s="37">
        <f t="shared" si="3"/>
        <v>0.45000000000000007</v>
      </c>
      <c r="I72" s="39"/>
    </row>
    <row r="73" spans="1:9" ht="21" x14ac:dyDescent="0.35">
      <c r="A73" s="38"/>
      <c r="B73" s="39" t="s">
        <v>103</v>
      </c>
      <c r="C73" s="39">
        <v>2</v>
      </c>
      <c r="D73" s="39">
        <v>1</v>
      </c>
      <c r="E73" s="39">
        <v>9</v>
      </c>
      <c r="F73" s="39"/>
      <c r="G73" s="34">
        <v>1.2</v>
      </c>
      <c r="H73" s="37">
        <f t="shared" si="3"/>
        <v>21.599999999999998</v>
      </c>
      <c r="I73" s="39"/>
    </row>
    <row r="74" spans="1:9" ht="21" x14ac:dyDescent="0.35">
      <c r="A74" s="38"/>
      <c r="B74" s="39"/>
      <c r="C74" s="39"/>
      <c r="D74" s="39"/>
      <c r="E74" s="39"/>
      <c r="F74" s="39"/>
      <c r="G74" s="34"/>
      <c r="H74" s="37"/>
      <c r="I74" s="39"/>
    </row>
    <row r="75" spans="1:9" ht="21" x14ac:dyDescent="0.35">
      <c r="A75" s="38"/>
      <c r="B75" s="39"/>
      <c r="C75" s="39"/>
      <c r="D75" s="39"/>
      <c r="E75" s="39"/>
      <c r="F75" s="39"/>
      <c r="G75" s="33" t="s">
        <v>8</v>
      </c>
      <c r="H75" s="43">
        <f>SUM(H58:H74)</f>
        <v>205.64099999999999</v>
      </c>
      <c r="I75" s="39"/>
    </row>
    <row r="76" spans="1:9" ht="21" x14ac:dyDescent="0.35">
      <c r="A76" s="38"/>
      <c r="B76" s="39"/>
      <c r="C76" s="39"/>
      <c r="D76" s="39"/>
      <c r="E76" s="39"/>
      <c r="F76" s="39"/>
      <c r="G76" s="33"/>
      <c r="H76" s="43"/>
      <c r="I76" s="39"/>
    </row>
    <row r="77" spans="1:9" ht="21" x14ac:dyDescent="0.35">
      <c r="A77" s="38">
        <v>9</v>
      </c>
      <c r="B77" s="38" t="s">
        <v>33</v>
      </c>
      <c r="C77" s="39"/>
      <c r="D77" s="39"/>
      <c r="E77" s="39"/>
      <c r="F77" s="39"/>
      <c r="G77" s="39"/>
      <c r="H77" s="37"/>
      <c r="I77" s="39"/>
    </row>
    <row r="78" spans="1:9" ht="21" x14ac:dyDescent="0.35">
      <c r="A78" s="38"/>
      <c r="B78" s="39" t="s">
        <v>96</v>
      </c>
      <c r="C78" s="39">
        <v>2</v>
      </c>
      <c r="D78" s="39">
        <v>2</v>
      </c>
      <c r="E78" s="39">
        <v>6.1</v>
      </c>
      <c r="F78" s="39"/>
      <c r="G78" s="40">
        <v>3</v>
      </c>
      <c r="H78" s="37">
        <f>G78*E78*D78*C78</f>
        <v>73.199999999999989</v>
      </c>
      <c r="I78" s="39"/>
    </row>
    <row r="79" spans="1:9" ht="21" x14ac:dyDescent="0.35">
      <c r="A79" s="38"/>
      <c r="B79" s="39" t="s">
        <v>96</v>
      </c>
      <c r="C79" s="39">
        <v>2</v>
      </c>
      <c r="D79" s="39">
        <v>2</v>
      </c>
      <c r="E79" s="39">
        <v>5.5</v>
      </c>
      <c r="F79" s="39"/>
      <c r="G79" s="40">
        <v>3</v>
      </c>
      <c r="H79" s="37">
        <f t="shared" ref="H79:H92" si="4">G79*E79*D79*C79</f>
        <v>66</v>
      </c>
      <c r="I79" s="39"/>
    </row>
    <row r="80" spans="1:9" ht="21" x14ac:dyDescent="0.35">
      <c r="A80" s="38"/>
      <c r="B80" s="39" t="s">
        <v>95</v>
      </c>
      <c r="C80" s="39">
        <v>2</v>
      </c>
      <c r="D80" s="39">
        <v>2</v>
      </c>
      <c r="E80" s="39">
        <v>1.6</v>
      </c>
      <c r="F80" s="39"/>
      <c r="G80" s="40">
        <v>2</v>
      </c>
      <c r="H80" s="37">
        <f t="shared" si="4"/>
        <v>12.8</v>
      </c>
      <c r="I80" s="39"/>
    </row>
    <row r="81" spans="1:9" ht="21" x14ac:dyDescent="0.35">
      <c r="A81" s="38"/>
      <c r="B81" s="39" t="s">
        <v>20</v>
      </c>
      <c r="C81" s="39">
        <v>4</v>
      </c>
      <c r="D81" s="39">
        <v>4</v>
      </c>
      <c r="E81" s="39">
        <v>0.45</v>
      </c>
      <c r="F81" s="39"/>
      <c r="G81" s="42">
        <v>2</v>
      </c>
      <c r="H81" s="37">
        <f t="shared" si="4"/>
        <v>14.4</v>
      </c>
      <c r="I81" s="39"/>
    </row>
    <row r="82" spans="1:9" ht="21" x14ac:dyDescent="0.35">
      <c r="A82" s="38"/>
      <c r="B82" s="39" t="s">
        <v>97</v>
      </c>
      <c r="C82" s="39">
        <v>2</v>
      </c>
      <c r="D82" s="39">
        <v>2</v>
      </c>
      <c r="E82" s="39">
        <v>5.64</v>
      </c>
      <c r="F82" s="39"/>
      <c r="G82" s="39">
        <v>0.2</v>
      </c>
      <c r="H82" s="37">
        <f t="shared" si="4"/>
        <v>4.5119999999999996</v>
      </c>
      <c r="I82" s="39"/>
    </row>
    <row r="83" spans="1:9" ht="21" x14ac:dyDescent="0.35">
      <c r="A83" s="38"/>
      <c r="B83" s="39" t="s">
        <v>98</v>
      </c>
      <c r="C83" s="34">
        <v>2</v>
      </c>
      <c r="D83" s="34">
        <f>2*4</f>
        <v>8</v>
      </c>
      <c r="E83" s="34">
        <v>1.8</v>
      </c>
      <c r="F83" s="34"/>
      <c r="G83" s="34">
        <v>0.2</v>
      </c>
      <c r="H83" s="37">
        <f t="shared" si="4"/>
        <v>5.7600000000000007</v>
      </c>
      <c r="I83" s="39"/>
    </row>
    <row r="84" spans="1:9" ht="21" x14ac:dyDescent="0.35">
      <c r="A84" s="38"/>
      <c r="B84" s="39" t="s">
        <v>99</v>
      </c>
      <c r="C84" s="39">
        <v>2</v>
      </c>
      <c r="D84" s="39">
        <v>2</v>
      </c>
      <c r="E84" s="39">
        <v>5.64</v>
      </c>
      <c r="F84" s="39"/>
      <c r="G84" s="39">
        <v>0.15</v>
      </c>
      <c r="H84" s="37">
        <f t="shared" si="4"/>
        <v>3.3839999999999999</v>
      </c>
      <c r="I84" s="39"/>
    </row>
    <row r="85" spans="1:9" ht="21" x14ac:dyDescent="0.35">
      <c r="A85" s="38"/>
      <c r="B85" s="39" t="s">
        <v>94</v>
      </c>
      <c r="C85" s="39">
        <v>2</v>
      </c>
      <c r="D85" s="39">
        <v>4</v>
      </c>
      <c r="E85" s="39">
        <v>0.75</v>
      </c>
      <c r="F85" s="39"/>
      <c r="G85" s="34">
        <v>0.15</v>
      </c>
      <c r="H85" s="37">
        <f t="shared" si="4"/>
        <v>0.89999999999999991</v>
      </c>
      <c r="I85" s="39"/>
    </row>
    <row r="86" spans="1:9" ht="21" x14ac:dyDescent="0.35">
      <c r="A86" s="38"/>
      <c r="B86" s="39" t="s">
        <v>30</v>
      </c>
      <c r="C86" s="39">
        <v>1</v>
      </c>
      <c r="D86" s="39">
        <v>2</v>
      </c>
      <c r="E86" s="39">
        <v>1.25</v>
      </c>
      <c r="F86" s="39"/>
      <c r="G86" s="34">
        <v>0.3</v>
      </c>
      <c r="H86" s="37">
        <f t="shared" si="4"/>
        <v>0.75</v>
      </c>
      <c r="I86" s="39"/>
    </row>
    <row r="87" spans="1:9" ht="21" x14ac:dyDescent="0.35">
      <c r="A87" s="38"/>
      <c r="B87" s="39" t="s">
        <v>31</v>
      </c>
      <c r="C87" s="39">
        <v>1</v>
      </c>
      <c r="D87" s="39">
        <v>2</v>
      </c>
      <c r="E87" s="39">
        <v>1.25</v>
      </c>
      <c r="F87" s="39"/>
      <c r="G87" s="34">
        <v>0.2</v>
      </c>
      <c r="H87" s="37">
        <f t="shared" si="4"/>
        <v>0.5</v>
      </c>
      <c r="I87" s="39"/>
    </row>
    <row r="88" spans="1:9" ht="21" x14ac:dyDescent="0.35">
      <c r="A88" s="38"/>
      <c r="B88" s="39" t="s">
        <v>32</v>
      </c>
      <c r="C88" s="39">
        <v>1</v>
      </c>
      <c r="D88" s="39">
        <v>2</v>
      </c>
      <c r="E88" s="39">
        <v>0.6</v>
      </c>
      <c r="F88" s="39"/>
      <c r="G88" s="34">
        <v>0.7</v>
      </c>
      <c r="H88" s="37">
        <f t="shared" si="4"/>
        <v>0.84</v>
      </c>
      <c r="I88" s="39"/>
    </row>
    <row r="89" spans="1:9" ht="21" x14ac:dyDescent="0.35">
      <c r="A89" s="38"/>
      <c r="B89" s="39" t="s">
        <v>46</v>
      </c>
      <c r="C89" s="39">
        <v>1</v>
      </c>
      <c r="D89" s="39">
        <v>1</v>
      </c>
      <c r="E89" s="39">
        <v>1.25</v>
      </c>
      <c r="F89" s="39"/>
      <c r="G89" s="34">
        <v>0.1</v>
      </c>
      <c r="H89" s="37">
        <f t="shared" si="4"/>
        <v>0.125</v>
      </c>
      <c r="I89" s="39"/>
    </row>
    <row r="90" spans="1:9" ht="21" x14ac:dyDescent="0.35">
      <c r="A90" s="38"/>
      <c r="B90" s="39" t="s">
        <v>46</v>
      </c>
      <c r="C90" s="39">
        <v>1</v>
      </c>
      <c r="D90" s="39">
        <v>2</v>
      </c>
      <c r="E90" s="39">
        <v>0.6</v>
      </c>
      <c r="F90" s="39"/>
      <c r="G90" s="34">
        <v>0.1</v>
      </c>
      <c r="H90" s="37">
        <f t="shared" si="4"/>
        <v>0.12</v>
      </c>
      <c r="I90" s="39"/>
    </row>
    <row r="91" spans="1:9" ht="21" x14ac:dyDescent="0.35">
      <c r="A91" s="38"/>
      <c r="B91" s="39" t="s">
        <v>47</v>
      </c>
      <c r="C91" s="39">
        <v>2</v>
      </c>
      <c r="D91" s="39">
        <v>5</v>
      </c>
      <c r="E91" s="39">
        <v>0.3</v>
      </c>
      <c r="F91" s="39"/>
      <c r="G91" s="34">
        <v>0.1</v>
      </c>
      <c r="H91" s="37">
        <f t="shared" si="4"/>
        <v>0.3</v>
      </c>
      <c r="I91" s="39"/>
    </row>
    <row r="92" spans="1:9" ht="21" x14ac:dyDescent="0.35">
      <c r="A92" s="38"/>
      <c r="B92" s="39" t="s">
        <v>47</v>
      </c>
      <c r="C92" s="39">
        <v>1</v>
      </c>
      <c r="D92" s="39">
        <v>5</v>
      </c>
      <c r="E92" s="39">
        <v>0.45</v>
      </c>
      <c r="F92" s="39"/>
      <c r="G92" s="34">
        <v>0.2</v>
      </c>
      <c r="H92" s="37">
        <f t="shared" si="4"/>
        <v>0.45000000000000007</v>
      </c>
      <c r="I92" s="39"/>
    </row>
    <row r="93" spans="1:9" ht="21" x14ac:dyDescent="0.35">
      <c r="A93" s="38"/>
      <c r="B93" s="39"/>
      <c r="C93" s="39"/>
      <c r="D93" s="39"/>
      <c r="E93" s="39"/>
      <c r="F93" s="39"/>
      <c r="G93" s="34"/>
      <c r="H93" s="37"/>
      <c r="I93" s="39"/>
    </row>
    <row r="94" spans="1:9" ht="21" x14ac:dyDescent="0.35">
      <c r="A94" s="38"/>
      <c r="B94" s="39"/>
      <c r="C94" s="39"/>
      <c r="D94" s="39"/>
      <c r="E94" s="39"/>
      <c r="F94" s="39"/>
      <c r="G94" s="33" t="s">
        <v>8</v>
      </c>
      <c r="H94" s="43">
        <f>SUM(H78:H92)</f>
        <v>184.041</v>
      </c>
      <c r="I94" s="39"/>
    </row>
    <row r="95" spans="1:9" ht="21" x14ac:dyDescent="0.35">
      <c r="A95" s="38"/>
      <c r="B95" s="39"/>
      <c r="C95" s="39"/>
      <c r="D95" s="39"/>
      <c r="E95" s="39"/>
      <c r="F95" s="39"/>
      <c r="G95" s="33"/>
      <c r="H95" s="43"/>
      <c r="I95" s="39"/>
    </row>
    <row r="96" spans="1:9" ht="21" x14ac:dyDescent="0.35">
      <c r="A96" s="38">
        <v>10</v>
      </c>
      <c r="B96" s="38" t="s">
        <v>48</v>
      </c>
      <c r="C96" s="39">
        <v>1</v>
      </c>
      <c r="D96" s="39">
        <v>1</v>
      </c>
      <c r="E96" s="39"/>
      <c r="F96" s="39"/>
      <c r="G96" s="39"/>
      <c r="H96" s="38">
        <v>0.38</v>
      </c>
      <c r="I96" s="39"/>
    </row>
    <row r="97" spans="1:9" ht="21" x14ac:dyDescent="0.35">
      <c r="A97" s="38"/>
      <c r="B97" s="39"/>
      <c r="C97" s="39"/>
      <c r="D97" s="39"/>
      <c r="E97" s="39"/>
      <c r="F97" s="39"/>
      <c r="G97" s="33"/>
      <c r="H97" s="43"/>
      <c r="I97" s="39"/>
    </row>
    <row r="98" spans="1:9" ht="21" x14ac:dyDescent="0.35">
      <c r="A98" s="38">
        <v>11</v>
      </c>
      <c r="B98" s="38" t="s">
        <v>39</v>
      </c>
      <c r="C98" s="39">
        <v>1</v>
      </c>
      <c r="D98" s="39">
        <v>5</v>
      </c>
      <c r="E98" s="39"/>
      <c r="F98" s="39"/>
      <c r="G98" s="39"/>
      <c r="H98" s="44">
        <f>D98</f>
        <v>5</v>
      </c>
      <c r="I98" s="39"/>
    </row>
    <row r="99" spans="1:9" ht="21" x14ac:dyDescent="0.35">
      <c r="A99" s="38"/>
      <c r="B99" s="39"/>
      <c r="C99" s="39"/>
      <c r="D99" s="39"/>
      <c r="E99" s="39"/>
      <c r="F99" s="39"/>
      <c r="G99" s="33"/>
      <c r="H99" s="43"/>
      <c r="I99" s="39"/>
    </row>
    <row r="100" spans="1:9" ht="21" x14ac:dyDescent="0.35">
      <c r="A100" s="38"/>
      <c r="B100" s="39"/>
      <c r="C100" s="39"/>
      <c r="D100" s="39"/>
      <c r="E100" s="39"/>
      <c r="F100" s="39"/>
      <c r="G100" s="33"/>
      <c r="H100" s="43"/>
      <c r="I100" s="39"/>
    </row>
    <row r="101" spans="1:9" ht="21" x14ac:dyDescent="0.35">
      <c r="A101" s="38">
        <v>12</v>
      </c>
      <c r="B101" s="39" t="s">
        <v>35</v>
      </c>
      <c r="C101" s="39">
        <v>1</v>
      </c>
      <c r="D101" s="39">
        <v>2</v>
      </c>
      <c r="E101" s="39"/>
      <c r="F101" s="39"/>
      <c r="G101" s="34"/>
      <c r="H101" s="43">
        <f>D101</f>
        <v>2</v>
      </c>
      <c r="I101" s="39"/>
    </row>
    <row r="102" spans="1:9" ht="21" x14ac:dyDescent="0.35">
      <c r="A102" s="38"/>
      <c r="B102" s="39"/>
      <c r="C102" s="39"/>
      <c r="D102" s="39"/>
      <c r="E102" s="39"/>
      <c r="F102" s="39"/>
      <c r="G102" s="34"/>
      <c r="H102" s="43"/>
      <c r="I102" s="39"/>
    </row>
    <row r="103" spans="1:9" ht="21" x14ac:dyDescent="0.35">
      <c r="A103" s="38">
        <v>13</v>
      </c>
      <c r="B103" s="39" t="s">
        <v>36</v>
      </c>
      <c r="C103" s="39">
        <v>1</v>
      </c>
      <c r="D103" s="39">
        <v>6</v>
      </c>
      <c r="E103" s="39">
        <v>0.45</v>
      </c>
      <c r="F103" s="39"/>
      <c r="G103" s="34">
        <v>0.9</v>
      </c>
      <c r="H103" s="43">
        <f>G103*E103*D103*C103</f>
        <v>2.4300000000000002</v>
      </c>
      <c r="I103" s="39"/>
    </row>
    <row r="104" spans="1:9" ht="21" x14ac:dyDescent="0.35">
      <c r="A104" s="38"/>
      <c r="B104" s="39" t="s">
        <v>45</v>
      </c>
      <c r="C104" s="39">
        <v>1</v>
      </c>
      <c r="D104" s="39">
        <v>1</v>
      </c>
      <c r="E104" s="39">
        <v>3.5</v>
      </c>
      <c r="F104" s="39"/>
      <c r="G104" s="34">
        <v>1</v>
      </c>
      <c r="H104" s="43">
        <f>G104*E104*D104*C104</f>
        <v>3.5</v>
      </c>
      <c r="I104" s="39"/>
    </row>
    <row r="105" spans="1:9" ht="21" x14ac:dyDescent="0.35">
      <c r="A105" s="38"/>
      <c r="B105" s="39"/>
      <c r="C105" s="39"/>
      <c r="D105" s="39"/>
      <c r="E105" s="39"/>
      <c r="F105" s="39"/>
      <c r="G105" s="33"/>
      <c r="H105" s="43">
        <f>SUM(H103:H104)</f>
        <v>5.93</v>
      </c>
      <c r="I105" s="39"/>
    </row>
    <row r="106" spans="1:9" ht="21" x14ac:dyDescent="0.35">
      <c r="A106" s="38"/>
      <c r="B106" s="39"/>
      <c r="C106" s="39"/>
      <c r="D106" s="39"/>
      <c r="E106" s="39"/>
      <c r="F106" s="39"/>
      <c r="G106" s="33"/>
      <c r="H106" s="43"/>
      <c r="I106" s="39"/>
    </row>
    <row r="107" spans="1:9" ht="21" x14ac:dyDescent="0.35">
      <c r="A107" s="38"/>
      <c r="B107" s="39"/>
      <c r="C107" s="39"/>
      <c r="D107" s="39"/>
      <c r="E107" s="39"/>
      <c r="F107" s="39"/>
      <c r="G107" s="39"/>
      <c r="H107" s="44"/>
      <c r="I107" s="39"/>
    </row>
    <row r="108" spans="1:9" ht="21" x14ac:dyDescent="0.35">
      <c r="A108" s="38"/>
      <c r="B108" s="39"/>
      <c r="C108" s="39"/>
      <c r="D108" s="39"/>
      <c r="E108" s="39"/>
      <c r="F108" s="39"/>
      <c r="G108" s="39"/>
      <c r="H108" s="44"/>
      <c r="I108" s="39"/>
    </row>
    <row r="109" spans="1:9" ht="21" x14ac:dyDescent="0.35">
      <c r="A109" s="38">
        <v>14</v>
      </c>
      <c r="B109" s="38" t="s">
        <v>140</v>
      </c>
      <c r="C109" s="39"/>
      <c r="D109" s="39"/>
      <c r="E109" s="39"/>
      <c r="F109" s="39"/>
      <c r="G109" s="33"/>
      <c r="H109" s="43"/>
      <c r="I109" s="39"/>
    </row>
    <row r="110" spans="1:9" ht="21" x14ac:dyDescent="0.35">
      <c r="A110" s="38"/>
      <c r="B110" s="39" t="s">
        <v>93</v>
      </c>
      <c r="C110" s="39">
        <v>1</v>
      </c>
      <c r="D110" s="39">
        <v>3</v>
      </c>
      <c r="E110" s="39"/>
      <c r="F110" s="39"/>
      <c r="G110" s="39"/>
      <c r="H110" s="45">
        <f t="shared" ref="H110:H112" si="5">D110</f>
        <v>3</v>
      </c>
      <c r="I110" s="39"/>
    </row>
    <row r="111" spans="1:9" ht="21" x14ac:dyDescent="0.35">
      <c r="A111" s="38"/>
      <c r="B111" s="39" t="s">
        <v>41</v>
      </c>
      <c r="C111" s="39">
        <v>1</v>
      </c>
      <c r="D111" s="39">
        <v>2</v>
      </c>
      <c r="E111" s="39"/>
      <c r="F111" s="39"/>
      <c r="G111" s="33"/>
      <c r="H111" s="45">
        <f t="shared" si="5"/>
        <v>2</v>
      </c>
      <c r="I111" s="39"/>
    </row>
    <row r="112" spans="1:9" ht="21" x14ac:dyDescent="0.35">
      <c r="A112" s="38"/>
      <c r="B112" s="39" t="s">
        <v>40</v>
      </c>
      <c r="C112" s="39">
        <v>1</v>
      </c>
      <c r="D112" s="39">
        <v>2</v>
      </c>
      <c r="E112" s="39"/>
      <c r="F112" s="39"/>
      <c r="G112" s="39"/>
      <c r="H112" s="45">
        <f t="shared" si="5"/>
        <v>2</v>
      </c>
      <c r="I112" s="39"/>
    </row>
    <row r="113" spans="1:9" ht="21" x14ac:dyDescent="0.35">
      <c r="A113" s="38"/>
      <c r="B113" s="39" t="s">
        <v>42</v>
      </c>
      <c r="C113" s="39">
        <v>1</v>
      </c>
      <c r="D113" s="39">
        <v>7</v>
      </c>
      <c r="E113" s="39"/>
      <c r="F113" s="39"/>
      <c r="G113" s="39"/>
      <c r="H113" s="45">
        <f>D113</f>
        <v>7</v>
      </c>
      <c r="I113" s="39"/>
    </row>
    <row r="114" spans="1:9" ht="21" x14ac:dyDescent="0.35">
      <c r="A114" s="38"/>
      <c r="B114" s="46" t="s">
        <v>102</v>
      </c>
      <c r="C114" s="39"/>
      <c r="D114" s="39"/>
      <c r="E114" s="39"/>
      <c r="F114" s="39"/>
      <c r="G114" s="39"/>
      <c r="H114" s="39"/>
      <c r="I114" s="39"/>
    </row>
    <row r="115" spans="1:9" ht="21" x14ac:dyDescent="0.35">
      <c r="A115" s="38"/>
      <c r="B115" s="49" t="s">
        <v>69</v>
      </c>
      <c r="C115" s="39"/>
      <c r="D115" s="39"/>
      <c r="E115" s="39">
        <v>29.3</v>
      </c>
      <c r="F115" s="39"/>
      <c r="G115" s="39"/>
      <c r="H115" s="39">
        <f>E115</f>
        <v>29.3</v>
      </c>
      <c r="I115" s="39"/>
    </row>
    <row r="116" spans="1:9" ht="21" x14ac:dyDescent="0.35">
      <c r="A116" s="38"/>
      <c r="B116" s="49" t="s">
        <v>70</v>
      </c>
      <c r="C116" s="39"/>
      <c r="D116" s="39"/>
      <c r="E116" s="39">
        <v>12</v>
      </c>
      <c r="F116" s="39"/>
      <c r="G116" s="39"/>
      <c r="H116" s="39">
        <f t="shared" ref="H116:H118" si="6">E116</f>
        <v>12</v>
      </c>
      <c r="I116" s="39"/>
    </row>
    <row r="117" spans="1:9" ht="21" x14ac:dyDescent="0.35">
      <c r="A117" s="38"/>
      <c r="B117" s="49" t="s">
        <v>101</v>
      </c>
      <c r="C117" s="39"/>
      <c r="D117" s="39"/>
      <c r="E117" s="39">
        <v>15</v>
      </c>
      <c r="F117" s="39"/>
      <c r="G117" s="39"/>
      <c r="H117" s="39">
        <f t="shared" si="6"/>
        <v>15</v>
      </c>
      <c r="I117" s="39"/>
    </row>
    <row r="118" spans="1:9" ht="21" x14ac:dyDescent="0.35">
      <c r="A118" s="38"/>
      <c r="B118" s="49" t="s">
        <v>71</v>
      </c>
      <c r="C118" s="39"/>
      <c r="D118" s="39"/>
      <c r="E118" s="39">
        <v>14.1</v>
      </c>
      <c r="F118" s="39"/>
      <c r="G118" s="39"/>
      <c r="H118" s="39">
        <f t="shared" si="6"/>
        <v>14.1</v>
      </c>
      <c r="I118" s="39"/>
    </row>
    <row r="119" spans="1:9" ht="21" x14ac:dyDescent="0.35">
      <c r="A119" s="38"/>
      <c r="B119" s="49" t="s">
        <v>92</v>
      </c>
      <c r="C119" s="39">
        <v>4</v>
      </c>
      <c r="D119" s="39">
        <v>1</v>
      </c>
      <c r="E119" s="39"/>
      <c r="F119" s="39"/>
      <c r="G119" s="39"/>
      <c r="H119" s="39">
        <v>4</v>
      </c>
      <c r="I119" s="39"/>
    </row>
    <row r="120" spans="1:9" ht="21" x14ac:dyDescent="0.35">
      <c r="A120" s="38">
        <v>15</v>
      </c>
      <c r="B120" s="49" t="s">
        <v>43</v>
      </c>
      <c r="C120" s="39">
        <v>1</v>
      </c>
      <c r="D120" s="39">
        <v>5</v>
      </c>
      <c r="E120" s="39"/>
      <c r="F120" s="39"/>
      <c r="G120" s="39"/>
      <c r="H120" s="39">
        <v>5</v>
      </c>
      <c r="I120" s="39"/>
    </row>
    <row r="121" spans="1:9" ht="21" x14ac:dyDescent="0.35">
      <c r="A121" s="38"/>
      <c r="B121" s="38"/>
      <c r="C121" s="39"/>
      <c r="D121" s="39"/>
      <c r="E121" s="39"/>
      <c r="F121" s="39"/>
      <c r="G121" s="39"/>
      <c r="H121" s="39"/>
      <c r="I121" s="39"/>
    </row>
    <row r="122" spans="1:9" ht="21" x14ac:dyDescent="0.35">
      <c r="A122" s="38">
        <v>16</v>
      </c>
      <c r="B122" s="38" t="s">
        <v>44</v>
      </c>
      <c r="C122" s="39">
        <v>1</v>
      </c>
      <c r="D122" s="39">
        <v>1</v>
      </c>
      <c r="E122" s="39"/>
      <c r="F122" s="39"/>
      <c r="G122" s="39"/>
      <c r="H122" s="39">
        <v>1</v>
      </c>
      <c r="I122" s="39"/>
    </row>
    <row r="123" spans="1:9" ht="21" x14ac:dyDescent="0.35">
      <c r="A123" s="38"/>
      <c r="B123" s="38"/>
      <c r="C123" s="39"/>
      <c r="D123" s="39"/>
      <c r="E123" s="39"/>
      <c r="F123" s="39"/>
      <c r="G123" s="39"/>
      <c r="H123" s="39"/>
      <c r="I123" s="39"/>
    </row>
    <row r="124" spans="1:9" ht="21" x14ac:dyDescent="0.35">
      <c r="A124" s="38"/>
      <c r="B124" s="38"/>
      <c r="C124" s="39"/>
      <c r="D124" s="39"/>
      <c r="E124" s="39"/>
      <c r="F124" s="39"/>
      <c r="G124" s="39"/>
      <c r="H124" s="39"/>
      <c r="I124" s="39"/>
    </row>
    <row r="125" spans="1:9" ht="51" customHeight="1" x14ac:dyDescent="0.35">
      <c r="A125" s="38">
        <v>17</v>
      </c>
      <c r="B125" s="47" t="s">
        <v>100</v>
      </c>
      <c r="C125" s="39">
        <v>1</v>
      </c>
      <c r="D125" s="39">
        <v>1</v>
      </c>
      <c r="E125" s="39">
        <v>6.1</v>
      </c>
      <c r="F125" s="39">
        <v>5.8</v>
      </c>
      <c r="G125" s="39"/>
      <c r="H125" s="38">
        <f>F125*E125*D125*C125</f>
        <v>35.379999999999995</v>
      </c>
      <c r="I125" s="39"/>
    </row>
    <row r="126" spans="1:9" ht="21" x14ac:dyDescent="0.35">
      <c r="A126" s="38"/>
      <c r="B126" s="38"/>
      <c r="C126" s="39"/>
      <c r="D126" s="39"/>
      <c r="E126" s="39"/>
      <c r="F126" s="39"/>
      <c r="G126" s="39"/>
      <c r="H126" s="39"/>
      <c r="I126" s="39"/>
    </row>
    <row r="127" spans="1:9" ht="21" x14ac:dyDescent="0.35">
      <c r="A127" s="38">
        <v>18</v>
      </c>
      <c r="B127" s="38" t="s">
        <v>72</v>
      </c>
      <c r="C127" s="39">
        <v>16</v>
      </c>
      <c r="D127" s="39">
        <v>1</v>
      </c>
      <c r="E127" s="39"/>
      <c r="F127" s="39"/>
      <c r="G127" s="39"/>
      <c r="H127" s="38">
        <v>16</v>
      </c>
      <c r="I127" s="39"/>
    </row>
    <row r="128" spans="1:9" ht="21" x14ac:dyDescent="0.35">
      <c r="A128" s="38"/>
      <c r="B128" s="38"/>
      <c r="C128" s="39"/>
      <c r="D128" s="39"/>
      <c r="E128" s="39"/>
      <c r="F128" s="39"/>
      <c r="G128" s="39"/>
      <c r="H128" s="39"/>
      <c r="I128" s="39"/>
    </row>
    <row r="129" spans="2:2" x14ac:dyDescent="0.25">
      <c r="B129" s="5"/>
    </row>
    <row r="130" spans="2:2" x14ac:dyDescent="0.25">
      <c r="B130" s="5"/>
    </row>
    <row r="131" spans="2:2" x14ac:dyDescent="0.25">
      <c r="B131" s="5"/>
    </row>
    <row r="132" spans="2:2" x14ac:dyDescent="0.25">
      <c r="B132" s="5"/>
    </row>
    <row r="133" spans="2:2" x14ac:dyDescent="0.25">
      <c r="B133" s="5"/>
    </row>
    <row r="134" spans="2:2" x14ac:dyDescent="0.25">
      <c r="B134" s="5"/>
    </row>
  </sheetData>
  <mergeCells count="2">
    <mergeCell ref="A1:I1"/>
    <mergeCell ref="C2:D2"/>
  </mergeCells>
  <pageMargins left="0.7" right="0.7" top="0.75" bottom="0.75" header="0.3" footer="0.3"/>
  <pageSetup paperSize="9"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B3DB-BC63-46DB-94B5-321F216D2C11}">
  <dimension ref="A1:D31"/>
  <sheetViews>
    <sheetView view="pageBreakPreview" topLeftCell="A13" zoomScale="60" zoomScaleNormal="100" workbookViewId="0">
      <selection sqref="A1:D31"/>
    </sheetView>
  </sheetViews>
  <sheetFormatPr defaultRowHeight="15" x14ac:dyDescent="0.25"/>
  <cols>
    <col min="1" max="1" width="17.140625" customWidth="1"/>
    <col min="2" max="2" width="42.85546875" customWidth="1"/>
    <col min="3" max="3" width="18" customWidth="1"/>
    <col min="4" max="4" width="43.85546875" customWidth="1"/>
  </cols>
  <sheetData>
    <row r="1" spans="1:4" x14ac:dyDescent="0.25">
      <c r="A1" s="59"/>
      <c r="B1" s="59"/>
      <c r="C1" s="59"/>
      <c r="D1" s="59"/>
    </row>
    <row r="2" spans="1:4" x14ac:dyDescent="0.25">
      <c r="A2" s="59"/>
      <c r="B2" s="59"/>
      <c r="C2" s="59"/>
      <c r="D2" s="59"/>
    </row>
    <row r="3" spans="1:4" x14ac:dyDescent="0.25">
      <c r="A3" s="59"/>
      <c r="B3" s="59"/>
      <c r="C3" s="59"/>
      <c r="D3" s="59"/>
    </row>
    <row r="4" spans="1:4" x14ac:dyDescent="0.25">
      <c r="A4" s="59"/>
      <c r="B4" s="59"/>
      <c r="C4" s="59"/>
      <c r="D4" s="59"/>
    </row>
    <row r="5" spans="1:4" x14ac:dyDescent="0.25">
      <c r="A5" s="59"/>
      <c r="B5" s="59"/>
      <c r="C5" s="59"/>
      <c r="D5" s="59"/>
    </row>
    <row r="6" spans="1:4" x14ac:dyDescent="0.25">
      <c r="A6" s="59"/>
      <c r="B6" s="59"/>
      <c r="C6" s="59"/>
      <c r="D6" s="59"/>
    </row>
    <row r="7" spans="1:4" x14ac:dyDescent="0.25">
      <c r="A7" s="59"/>
      <c r="B7" s="59"/>
      <c r="C7" s="59"/>
      <c r="D7" s="59"/>
    </row>
    <row r="8" spans="1:4" x14ac:dyDescent="0.25">
      <c r="A8" s="59"/>
      <c r="B8" s="59"/>
      <c r="C8" s="59"/>
      <c r="D8" s="59"/>
    </row>
    <row r="9" spans="1:4" x14ac:dyDescent="0.25">
      <c r="A9" s="59"/>
      <c r="B9" s="59"/>
      <c r="C9" s="59"/>
      <c r="D9" s="59"/>
    </row>
    <row r="10" spans="1:4" ht="15.75" thickBot="1" x14ac:dyDescent="0.3">
      <c r="A10" s="59"/>
      <c r="B10" s="59"/>
      <c r="C10" s="59"/>
      <c r="D10" s="59"/>
    </row>
    <row r="11" spans="1:4" ht="26.25" customHeight="1" x14ac:dyDescent="0.25">
      <c r="A11" s="60" t="s">
        <v>139</v>
      </c>
      <c r="B11" s="61"/>
      <c r="C11" s="61"/>
      <c r="D11" s="62"/>
    </row>
    <row r="12" spans="1:4" ht="30.75" customHeight="1" x14ac:dyDescent="0.3">
      <c r="A12" s="63" t="s">
        <v>132</v>
      </c>
      <c r="B12" s="64"/>
      <c r="C12" s="64"/>
      <c r="D12" s="65"/>
    </row>
    <row r="13" spans="1:4" ht="42.75" customHeight="1" x14ac:dyDescent="0.25">
      <c r="A13" s="78" t="s">
        <v>138</v>
      </c>
      <c r="B13" s="79"/>
      <c r="C13" s="79"/>
      <c r="D13" s="80"/>
    </row>
    <row r="14" spans="1:4" ht="18.75" x14ac:dyDescent="0.3">
      <c r="A14" s="81" t="s">
        <v>120</v>
      </c>
      <c r="B14" s="82"/>
      <c r="C14" s="83" t="s">
        <v>136</v>
      </c>
      <c r="D14" s="84"/>
    </row>
    <row r="15" spans="1:4" ht="41.25" customHeight="1" x14ac:dyDescent="0.3">
      <c r="A15" s="78" t="s">
        <v>121</v>
      </c>
      <c r="B15" s="85"/>
      <c r="C15" s="93" t="s">
        <v>133</v>
      </c>
      <c r="D15" s="94"/>
    </row>
    <row r="16" spans="1:4" ht="31.5" customHeight="1" x14ac:dyDescent="0.3">
      <c r="A16" s="86" t="s">
        <v>122</v>
      </c>
      <c r="B16" s="87"/>
      <c r="C16" s="95"/>
      <c r="D16" s="96"/>
    </row>
    <row r="17" spans="1:4" ht="18.75" x14ac:dyDescent="0.3">
      <c r="A17" s="86" t="s">
        <v>123</v>
      </c>
      <c r="B17" s="87"/>
      <c r="C17" s="88" t="s">
        <v>134</v>
      </c>
      <c r="D17" s="89"/>
    </row>
    <row r="18" spans="1:4" ht="18.75" x14ac:dyDescent="0.3">
      <c r="A18" s="90" t="s">
        <v>124</v>
      </c>
      <c r="B18" s="87"/>
      <c r="C18" s="91" t="s">
        <v>135</v>
      </c>
      <c r="D18" s="92"/>
    </row>
    <row r="19" spans="1:4" ht="18.75" x14ac:dyDescent="0.25">
      <c r="A19" s="50" t="s">
        <v>125</v>
      </c>
      <c r="B19" s="99" t="s">
        <v>126</v>
      </c>
      <c r="C19" s="100"/>
      <c r="D19" s="51" t="s">
        <v>37</v>
      </c>
    </row>
    <row r="20" spans="1:4" ht="18.75" x14ac:dyDescent="0.25">
      <c r="A20" s="52">
        <v>1</v>
      </c>
      <c r="B20" s="83" t="s">
        <v>137</v>
      </c>
      <c r="C20" s="98"/>
      <c r="D20" s="53">
        <f>ESTIMATE!F30</f>
        <v>870555.41599999997</v>
      </c>
    </row>
    <row r="21" spans="1:4" ht="18.75" x14ac:dyDescent="0.3">
      <c r="A21" s="66" t="s">
        <v>127</v>
      </c>
      <c r="B21" s="67"/>
      <c r="C21" s="67"/>
      <c r="D21" s="54">
        <f>D20</f>
        <v>870555.41599999997</v>
      </c>
    </row>
    <row r="22" spans="1:4" ht="18.75" x14ac:dyDescent="0.3">
      <c r="A22" s="97" t="s">
        <v>128</v>
      </c>
      <c r="B22" s="67"/>
      <c r="C22" s="67"/>
      <c r="D22" s="55">
        <f>D21*0.09</f>
        <v>78349.987439999997</v>
      </c>
    </row>
    <row r="23" spans="1:4" ht="18.75" x14ac:dyDescent="0.3">
      <c r="A23" s="97" t="s">
        <v>129</v>
      </c>
      <c r="B23" s="67"/>
      <c r="C23" s="67"/>
      <c r="D23" s="55">
        <f>D20*0.09</f>
        <v>78349.987439999997</v>
      </c>
    </row>
    <row r="24" spans="1:4" ht="18.75" x14ac:dyDescent="0.3">
      <c r="A24" s="66" t="s">
        <v>130</v>
      </c>
      <c r="B24" s="67"/>
      <c r="C24" s="67"/>
      <c r="D24" s="54">
        <f>D21+D22+D23</f>
        <v>1027255.3908800001</v>
      </c>
    </row>
    <row r="25" spans="1:4" ht="49.5" customHeight="1" x14ac:dyDescent="0.3">
      <c r="A25" s="68" t="s">
        <v>150</v>
      </c>
      <c r="B25" s="69"/>
      <c r="C25" s="69"/>
      <c r="D25" s="70"/>
    </row>
    <row r="26" spans="1:4" x14ac:dyDescent="0.25">
      <c r="A26" s="71"/>
      <c r="B26" s="67"/>
      <c r="C26" s="75" t="s">
        <v>131</v>
      </c>
      <c r="D26" s="76"/>
    </row>
    <row r="27" spans="1:4" x14ac:dyDescent="0.25">
      <c r="A27" s="72"/>
      <c r="B27" s="67"/>
      <c r="C27" s="67"/>
      <c r="D27" s="76"/>
    </row>
    <row r="28" spans="1:4" ht="15.75" thickBot="1" x14ac:dyDescent="0.3">
      <c r="A28" s="73"/>
      <c r="B28" s="74"/>
      <c r="C28" s="74"/>
      <c r="D28" s="77"/>
    </row>
    <row r="29" spans="1:4" ht="18.75" x14ac:dyDescent="0.3">
      <c r="A29" s="56"/>
      <c r="B29" s="56"/>
      <c r="C29" s="56"/>
      <c r="D29" s="56"/>
    </row>
    <row r="30" spans="1:4" ht="18.75" x14ac:dyDescent="0.3">
      <c r="A30" s="56"/>
      <c r="B30" s="56"/>
      <c r="C30" s="56"/>
      <c r="D30" s="56"/>
    </row>
    <row r="31" spans="1:4" ht="18.75" x14ac:dyDescent="0.3">
      <c r="A31" s="56"/>
      <c r="B31" s="56"/>
      <c r="C31" s="56"/>
      <c r="D31" s="56"/>
    </row>
  </sheetData>
  <mergeCells count="22">
    <mergeCell ref="A26:B28"/>
    <mergeCell ref="C26:D28"/>
    <mergeCell ref="A13:D13"/>
    <mergeCell ref="A14:B14"/>
    <mergeCell ref="C14:D14"/>
    <mergeCell ref="A15:B15"/>
    <mergeCell ref="A16:B16"/>
    <mergeCell ref="A17:B17"/>
    <mergeCell ref="C17:D17"/>
    <mergeCell ref="A18:B18"/>
    <mergeCell ref="C18:D18"/>
    <mergeCell ref="C15:D16"/>
    <mergeCell ref="A22:C22"/>
    <mergeCell ref="A21:C21"/>
    <mergeCell ref="B20:C20"/>
    <mergeCell ref="B19:C19"/>
    <mergeCell ref="A1:D10"/>
    <mergeCell ref="A11:D11"/>
    <mergeCell ref="A12:D12"/>
    <mergeCell ref="A24:C24"/>
    <mergeCell ref="A25:D25"/>
    <mergeCell ref="A23:C23"/>
  </mergeCells>
  <pageMargins left="0.7" right="0.7" top="0.75" bottom="0.75" header="0.3" footer="0.3"/>
  <pageSetup scale="7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
  <sheetViews>
    <sheetView topLeftCell="A4" workbookViewId="0">
      <selection activeCell="B25" sqref="B25"/>
    </sheetView>
  </sheetViews>
  <sheetFormatPr defaultRowHeight="15" x14ac:dyDescent="0.25"/>
  <cols>
    <col min="1" max="1" width="8.7109375" bestFit="1" customWidth="1"/>
    <col min="2" max="2" width="25.85546875" bestFit="1" customWidth="1"/>
    <col min="3" max="3" width="8.42578125" bestFit="1" customWidth="1"/>
    <col min="4" max="4" width="5.5703125" customWidth="1"/>
    <col min="6" max="6" width="12.7109375" customWidth="1"/>
  </cols>
  <sheetData>
    <row r="1" spans="1:12" ht="18.75" x14ac:dyDescent="0.25">
      <c r="A1" s="101" t="s">
        <v>67</v>
      </c>
      <c r="B1" s="102"/>
      <c r="C1" s="102"/>
      <c r="D1" s="102"/>
      <c r="E1" s="102"/>
      <c r="F1" s="102"/>
      <c r="G1" s="102"/>
      <c r="H1" s="102"/>
      <c r="I1" s="102"/>
      <c r="J1" s="102"/>
      <c r="K1" s="102"/>
      <c r="L1" s="103"/>
    </row>
    <row r="2" spans="1:12" ht="75" x14ac:dyDescent="0.25">
      <c r="A2" s="6" t="s">
        <v>49</v>
      </c>
      <c r="B2" s="7" t="s">
        <v>50</v>
      </c>
      <c r="C2" s="8" t="s">
        <v>51</v>
      </c>
      <c r="D2" s="104" t="s">
        <v>2</v>
      </c>
      <c r="E2" s="104"/>
      <c r="F2" s="8" t="s">
        <v>52</v>
      </c>
      <c r="G2" s="7" t="s">
        <v>8</v>
      </c>
      <c r="H2" s="7" t="s">
        <v>53</v>
      </c>
      <c r="I2" s="7" t="s">
        <v>54</v>
      </c>
      <c r="J2" s="7" t="s">
        <v>55</v>
      </c>
      <c r="K2" s="7" t="s">
        <v>56</v>
      </c>
      <c r="L2" s="9"/>
    </row>
    <row r="3" spans="1:12" ht="18.75" x14ac:dyDescent="0.25">
      <c r="A3" s="10">
        <v>1</v>
      </c>
      <c r="B3" s="11" t="s">
        <v>13</v>
      </c>
      <c r="C3" s="11"/>
      <c r="D3" s="12"/>
      <c r="E3" s="12"/>
      <c r="F3" s="12"/>
      <c r="G3" s="12"/>
      <c r="H3" s="12"/>
      <c r="I3" s="12"/>
      <c r="J3" s="12"/>
      <c r="K3" s="12"/>
      <c r="L3" s="9"/>
    </row>
    <row r="4" spans="1:12" ht="18.75" x14ac:dyDescent="0.25">
      <c r="A4" s="10"/>
      <c r="B4" s="12" t="s">
        <v>57</v>
      </c>
      <c r="C4" s="11">
        <v>16</v>
      </c>
      <c r="D4" s="12">
        <v>2</v>
      </c>
      <c r="E4" s="12">
        <v>6</v>
      </c>
      <c r="F4" s="13">
        <v>6.6</v>
      </c>
      <c r="G4" s="12">
        <f>F4*E4*D4</f>
        <v>79.199999999999989</v>
      </c>
      <c r="H4" s="12"/>
      <c r="I4" s="12"/>
      <c r="J4" s="12"/>
      <c r="K4" s="12">
        <f>G4</f>
        <v>79.199999999999989</v>
      </c>
      <c r="L4" s="9"/>
    </row>
    <row r="5" spans="1:12" ht="18.75" x14ac:dyDescent="0.25">
      <c r="A5" s="10"/>
      <c r="B5" s="12"/>
      <c r="C5" s="11">
        <v>16</v>
      </c>
      <c r="D5" s="12">
        <v>2</v>
      </c>
      <c r="E5" s="12">
        <v>6</v>
      </c>
      <c r="F5" s="13">
        <v>6.05</v>
      </c>
      <c r="G5" s="12">
        <f>F5*E5*D5</f>
        <v>72.599999999999994</v>
      </c>
      <c r="H5" s="12"/>
      <c r="I5" s="12"/>
      <c r="J5" s="12"/>
      <c r="K5" s="12">
        <f>G5</f>
        <v>72.599999999999994</v>
      </c>
      <c r="L5" s="9"/>
    </row>
    <row r="6" spans="1:12" ht="18.75" x14ac:dyDescent="0.25">
      <c r="A6" s="10"/>
      <c r="B6" s="12"/>
      <c r="C6" s="11"/>
      <c r="D6" s="12"/>
      <c r="E6" s="12"/>
      <c r="F6" s="13"/>
      <c r="G6" s="12"/>
      <c r="H6" s="12"/>
      <c r="I6" s="12"/>
      <c r="J6" s="12"/>
      <c r="K6" s="12"/>
      <c r="L6" s="9"/>
    </row>
    <row r="7" spans="1:12" ht="18.75" x14ac:dyDescent="0.25">
      <c r="A7" s="10"/>
      <c r="B7" s="12" t="s">
        <v>58</v>
      </c>
      <c r="C7" s="11">
        <v>8</v>
      </c>
      <c r="D7" s="12">
        <v>2</v>
      </c>
      <c r="E7" s="12">
        <v>61</v>
      </c>
      <c r="F7" s="12">
        <v>1.06</v>
      </c>
      <c r="G7" s="12">
        <f>F7*E7*D7</f>
        <v>129.32</v>
      </c>
      <c r="H7" s="12">
        <f>G7</f>
        <v>129.32</v>
      </c>
      <c r="I7" s="12"/>
      <c r="J7" s="12"/>
      <c r="K7" s="12"/>
      <c r="L7" s="9"/>
    </row>
    <row r="8" spans="1:12" ht="18.75" x14ac:dyDescent="0.25">
      <c r="A8" s="10"/>
      <c r="B8" s="12"/>
      <c r="C8" s="11">
        <v>8</v>
      </c>
      <c r="D8" s="12">
        <v>2</v>
      </c>
      <c r="E8" s="12">
        <v>56</v>
      </c>
      <c r="F8" s="12">
        <v>1.06</v>
      </c>
      <c r="G8" s="12">
        <f>F8*E8*D8</f>
        <v>118.72</v>
      </c>
      <c r="H8" s="12">
        <f>G8</f>
        <v>118.72</v>
      </c>
      <c r="I8" s="12"/>
      <c r="J8" s="12"/>
      <c r="K8" s="12"/>
      <c r="L8" s="9"/>
    </row>
    <row r="9" spans="1:12" ht="18.75" x14ac:dyDescent="0.25">
      <c r="A9" s="10"/>
      <c r="B9" s="12"/>
      <c r="C9" s="11"/>
      <c r="D9" s="12"/>
      <c r="E9" s="12"/>
      <c r="F9" s="12"/>
      <c r="G9" s="12"/>
      <c r="H9" s="12"/>
      <c r="I9" s="12"/>
      <c r="J9" s="12"/>
      <c r="K9" s="12"/>
      <c r="L9" s="9"/>
    </row>
    <row r="10" spans="1:12" ht="18.75" x14ac:dyDescent="0.25">
      <c r="A10" s="10">
        <v>2</v>
      </c>
      <c r="B10" s="12" t="s">
        <v>68</v>
      </c>
      <c r="C10" s="11"/>
      <c r="D10" s="12"/>
      <c r="E10" s="12"/>
      <c r="F10" s="12"/>
      <c r="G10" s="12"/>
      <c r="H10" s="12"/>
      <c r="I10" s="12"/>
      <c r="J10" s="12"/>
      <c r="K10" s="12"/>
      <c r="L10" s="9"/>
    </row>
    <row r="11" spans="1:12" ht="18.75" x14ac:dyDescent="0.25">
      <c r="A11" s="10"/>
      <c r="B11" s="12"/>
      <c r="C11" s="11">
        <v>12</v>
      </c>
      <c r="D11" s="12">
        <v>4</v>
      </c>
      <c r="E11" s="12">
        <v>4</v>
      </c>
      <c r="F11" s="12">
        <v>2.2000000000000002</v>
      </c>
      <c r="G11" s="12">
        <f>F11*E11*D11</f>
        <v>35.200000000000003</v>
      </c>
      <c r="H11" s="12"/>
      <c r="I11" s="12"/>
      <c r="J11" s="12">
        <f>G11</f>
        <v>35.200000000000003</v>
      </c>
      <c r="K11" s="12"/>
      <c r="L11" s="9"/>
    </row>
    <row r="12" spans="1:12" ht="18.75" x14ac:dyDescent="0.25">
      <c r="A12" s="10"/>
      <c r="B12" s="12" t="s">
        <v>58</v>
      </c>
      <c r="C12" s="11"/>
      <c r="D12" s="12"/>
      <c r="E12" s="12"/>
      <c r="F12" s="12"/>
      <c r="G12" s="12"/>
      <c r="H12" s="12"/>
      <c r="I12" s="12"/>
      <c r="J12" s="12"/>
      <c r="K12" s="12"/>
      <c r="L12" s="9"/>
    </row>
    <row r="13" spans="1:12" ht="18.75" x14ac:dyDescent="0.25">
      <c r="A13" s="10"/>
      <c r="B13" s="12"/>
      <c r="C13" s="11">
        <v>8</v>
      </c>
      <c r="D13" s="12">
        <v>4</v>
      </c>
      <c r="E13" s="12">
        <v>18</v>
      </c>
      <c r="F13" s="12">
        <v>0.38</v>
      </c>
      <c r="G13" s="12">
        <f t="shared" ref="G13" si="0">F13*E13*D13</f>
        <v>27.36</v>
      </c>
      <c r="H13" s="12">
        <f>G13</f>
        <v>27.36</v>
      </c>
      <c r="I13" s="12"/>
      <c r="J13" s="12"/>
      <c r="K13" s="12"/>
      <c r="L13" s="9"/>
    </row>
    <row r="14" spans="1:12" ht="18.75" x14ac:dyDescent="0.25">
      <c r="A14" s="10"/>
      <c r="B14" s="12"/>
      <c r="C14" s="11"/>
      <c r="D14" s="12"/>
      <c r="E14" s="12"/>
      <c r="F14" s="12"/>
      <c r="G14" s="12"/>
      <c r="H14" s="12"/>
      <c r="I14" s="12"/>
      <c r="J14" s="12"/>
      <c r="K14" s="12"/>
      <c r="L14" s="9"/>
    </row>
    <row r="15" spans="1:12" ht="18.75" x14ac:dyDescent="0.3">
      <c r="A15" s="10"/>
      <c r="B15" s="15" t="s">
        <v>59</v>
      </c>
      <c r="C15" s="16"/>
      <c r="D15" s="17"/>
      <c r="E15" s="17"/>
      <c r="F15" s="17"/>
      <c r="G15" s="17"/>
      <c r="H15" s="18">
        <f>SUM(H3:H14)</f>
        <v>275.39999999999998</v>
      </c>
      <c r="I15" s="19">
        <f>SUM(I3:I14)</f>
        <v>0</v>
      </c>
      <c r="J15" s="19">
        <f>SUM(J3:J14)</f>
        <v>35.200000000000003</v>
      </c>
      <c r="K15" s="19">
        <f>SUM(K3:K14)</f>
        <v>151.79999999999998</v>
      </c>
      <c r="L15" s="20" t="s">
        <v>60</v>
      </c>
    </row>
    <row r="16" spans="1:12" ht="18.75" x14ac:dyDescent="0.3">
      <c r="A16" s="10"/>
      <c r="B16" s="15" t="s">
        <v>61</v>
      </c>
      <c r="C16" s="16"/>
      <c r="D16" s="17"/>
      <c r="E16" s="17"/>
      <c r="F16" s="17"/>
      <c r="G16" s="17"/>
      <c r="H16" s="21">
        <f>8*8/162</f>
        <v>0.39506172839506171</v>
      </c>
      <c r="I16" s="22">
        <f>10*10/162</f>
        <v>0.61728395061728392</v>
      </c>
      <c r="J16" s="22">
        <f>12*12/162</f>
        <v>0.88888888888888884</v>
      </c>
      <c r="K16" s="22">
        <f>16*16/162</f>
        <v>1.5802469135802468</v>
      </c>
      <c r="L16" s="20" t="s">
        <v>62</v>
      </c>
    </row>
    <row r="17" spans="1:12" ht="18.75" x14ac:dyDescent="0.3">
      <c r="A17" s="14"/>
      <c r="B17" s="15" t="s">
        <v>63</v>
      </c>
      <c r="C17" s="16"/>
      <c r="D17" s="17"/>
      <c r="E17" s="17"/>
      <c r="F17" s="17"/>
      <c r="G17" s="17"/>
      <c r="H17" s="18">
        <f>H15*H16</f>
        <v>108.79999999999998</v>
      </c>
      <c r="I17" s="19">
        <f>I15*I16</f>
        <v>0</v>
      </c>
      <c r="J17" s="19">
        <f>J15*J16</f>
        <v>31.288888888888891</v>
      </c>
      <c r="K17" s="23">
        <f>K16*K15</f>
        <v>239.88148148148144</v>
      </c>
      <c r="L17" s="20" t="s">
        <v>64</v>
      </c>
    </row>
    <row r="18" spans="1:12" ht="19.5" thickBot="1" x14ac:dyDescent="0.35">
      <c r="A18" s="14"/>
      <c r="B18" s="24" t="s">
        <v>65</v>
      </c>
      <c r="C18" s="25"/>
      <c r="D18" s="26"/>
      <c r="E18" s="26"/>
      <c r="F18" s="26"/>
      <c r="G18" s="26"/>
      <c r="H18" s="105">
        <f>SUM(H17:K17)/1000</f>
        <v>0.37997037037037035</v>
      </c>
      <c r="I18" s="106"/>
      <c r="J18" s="106"/>
      <c r="K18" s="107"/>
      <c r="L18" s="27" t="s">
        <v>66</v>
      </c>
    </row>
  </sheetData>
  <mergeCells count="3">
    <mergeCell ref="A1:L1"/>
    <mergeCell ref="D2:E2"/>
    <mergeCell ref="H18: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ESTIMATE</vt:lpstr>
      <vt:lpstr>m sheet</vt:lpstr>
      <vt:lpstr>QUOTATION</vt:lpstr>
      <vt:lpstr>bbs toilet</vt:lpstr>
      <vt:lpstr>'m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2026-06-18T06:00:30Z</dcterms:modified>
</cp:coreProperties>
</file>